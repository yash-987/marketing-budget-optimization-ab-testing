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mpaign_data" sheetId="1" state="visible" r:id="rId3"/>
    <sheet name="Budget_Scenario" sheetId="2" state="visible" r:id="rId4"/>
    <sheet name="Scenario_Summary" sheetId="3" state="visible" r:id="rId5"/>
  </sheets>
  <definedNames>
    <definedName function="false" hidden="true" localSheetId="1" name="_xlnm._FilterDatabase" vbProcedure="false">Budget_Scenario!$A$1:$G$601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<sst xmlns="http://schemas.openxmlformats.org/spreadsheetml/2006/main" count="39" uniqueCount="37">
  <si>
    <t xml:space="preserve">campaign_id</t>
  </si>
  <si>
    <t xml:space="preserve">total_impressions</t>
  </si>
  <si>
    <t xml:space="preserve">total_clicks</t>
  </si>
  <si>
    <t xml:space="preserve">total_spend</t>
  </si>
  <si>
    <t xml:space="preserve">reported_conversions</t>
  </si>
  <si>
    <t xml:space="preserve">reported_conversion_value</t>
  </si>
  <si>
    <t xml:space="preserve">ctr</t>
  </si>
  <si>
    <t xml:space="preserve">cpc</t>
  </si>
  <si>
    <t xml:space="preserve">cpm</t>
  </si>
  <si>
    <t xml:space="preserve">cost_per_reported_conversion</t>
  </si>
  <si>
    <t xml:space="preserve">HISTORIAL_ROAS</t>
  </si>
  <si>
    <t xml:space="preserve">historical_spend</t>
  </si>
  <si>
    <t xml:space="preserve">historical_roas</t>
  </si>
  <si>
    <t xml:space="preserve">proposed_budget</t>
  </si>
  <si>
    <t xml:space="preserve">assumed_roas</t>
  </si>
  <si>
    <t xml:space="preserve">expected_conversion_value</t>
  </si>
  <si>
    <t xml:space="preserve">historic_conversion_value</t>
  </si>
  <si>
    <t xml:space="preserve">Total budget </t>
  </si>
  <si>
    <t xml:space="preserve">Allocated budget</t>
  </si>
  <si>
    <t xml:space="preserve">Budget difference </t>
  </si>
  <si>
    <t xml:space="preserve">Hiistorical Conversion Value </t>
  </si>
  <si>
    <t xml:space="preserve">Historical Roas </t>
  </si>
  <si>
    <t xml:space="preserve">Expected Conversion  Value (including rows with total spend)</t>
  </si>
  <si>
    <t xml:space="preserve">Expected/Scenario Roas </t>
  </si>
  <si>
    <t xml:space="preserve">Campaign with low roas </t>
  </si>
  <si>
    <t xml:space="preserve">d42</t>
  </si>
  <si>
    <t xml:space="preserve">Campaign with high roas</t>
  </si>
  <si>
    <t xml:space="preserve">d199</t>
  </si>
  <si>
    <t xml:space="preserve">proposed budget changed for both cells</t>
  </si>
  <si>
    <t xml:space="preserve">d42 and d199</t>
  </si>
  <si>
    <t xml:space="preserve">Metric </t>
  </si>
  <si>
    <t xml:space="preserve">Historic Baseline</t>
  </si>
  <si>
    <t xml:space="preserve">Proposed Baseline </t>
  </si>
  <si>
    <t xml:space="preserve">Difference</t>
  </si>
  <si>
    <t xml:space="preserve">Total Spend </t>
  </si>
  <si>
    <t xml:space="preserve">Reported/Expected Conversion Value</t>
  </si>
  <si>
    <t xml:space="preserve">ROAS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</si>
</sst>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B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2" activeCellId="0" sqref="K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73"/>
    <col collapsed="false" customWidth="true" hidden="false" outlineLevel="0" max="2" min="2" style="1" width="15.76"/>
    <col collapsed="false" customWidth="true" hidden="false" outlineLevel="0" max="3" min="3" style="1" width="10.76"/>
    <col collapsed="false" customWidth="true" hidden="false" outlineLevel="0" max="4" min="4" style="1" width="10.89"/>
    <col collapsed="false" customWidth="true" hidden="false" outlineLevel="0" max="5" min="5" style="1" width="18.82"/>
    <col collapsed="false" customWidth="true" hidden="false" outlineLevel="0" max="6" min="6" style="1" width="23.14"/>
    <col collapsed="false" customWidth="true" hidden="false" outlineLevel="0" max="8" min="7" style="1" width="5.06"/>
    <col collapsed="false" customWidth="true" hidden="false" outlineLevel="0" max="9" min="9" style="1" width="6.02"/>
    <col collapsed="false" customWidth="true" hidden="false" outlineLevel="0" max="10" min="10" style="1" width="25.77"/>
    <col collapsed="false" customWidth="true" hidden="false" outlineLevel="0" max="11" min="11" style="1" width="18.68"/>
    <col collapsed="false" customWidth="true" hidden="false" outlineLevel="0" max="15" min="15" style="1" width="10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n">
        <v>1</v>
      </c>
      <c r="B2" s="1" t="n">
        <v>53541140</v>
      </c>
      <c r="C2" s="1" t="n">
        <v>246737</v>
      </c>
      <c r="D2" s="1" t="n">
        <v>357489.87</v>
      </c>
      <c r="E2" s="1" t="n">
        <v>2500</v>
      </c>
      <c r="F2" s="1" t="n">
        <v>184552.75</v>
      </c>
      <c r="G2" s="1" t="n">
        <v>0.46</v>
      </c>
      <c r="H2" s="1" t="n">
        <v>1.45</v>
      </c>
      <c r="I2" s="1" t="n">
        <v>6.68</v>
      </c>
      <c r="J2" s="1" t="n">
        <v>143</v>
      </c>
      <c r="K2" s="1" t="n">
        <f aca="false">IFERROR(F2/D2,"")</f>
        <v>0.51624609670758</v>
      </c>
    </row>
    <row r="3" customFormat="false" ht="12.8" hidden="false" customHeight="false" outlineLevel="0" collapsed="false">
      <c r="A3" s="1" t="n">
        <v>2</v>
      </c>
      <c r="B3" s="1" t="n">
        <v>19182237</v>
      </c>
      <c r="C3" s="1" t="n">
        <v>98024</v>
      </c>
      <c r="D3" s="1" t="n">
        <v>140153.6</v>
      </c>
      <c r="E3" s="1" t="n">
        <v>949</v>
      </c>
      <c r="F3" s="1" t="n">
        <v>71035.21</v>
      </c>
      <c r="G3" s="1" t="n">
        <v>0.51</v>
      </c>
      <c r="H3" s="1" t="n">
        <v>1.43</v>
      </c>
      <c r="I3" s="1" t="n">
        <v>7.31</v>
      </c>
      <c r="J3" s="1" t="n">
        <v>147.69</v>
      </c>
      <c r="K3" s="1" t="n">
        <f aca="false">IFERROR(F3/D3,"")</f>
        <v>0.506838283140783</v>
      </c>
    </row>
    <row r="4" customFormat="false" ht="12.8" hidden="false" customHeight="false" outlineLevel="0" collapsed="false">
      <c r="A4" s="1" t="n">
        <v>3</v>
      </c>
      <c r="B4" s="1" t="n">
        <v>12687653</v>
      </c>
      <c r="C4" s="1" t="n">
        <v>57525</v>
      </c>
      <c r="D4" s="1" t="n">
        <v>0</v>
      </c>
      <c r="E4" s="1" t="n">
        <v>677</v>
      </c>
      <c r="F4" s="1" t="n">
        <v>49589.5</v>
      </c>
      <c r="G4" s="1" t="n">
        <v>0.45</v>
      </c>
      <c r="H4" s="1" t="n">
        <v>0</v>
      </c>
      <c r="I4" s="1" t="n">
        <v>0</v>
      </c>
      <c r="J4" s="1" t="n">
        <v>0</v>
      </c>
      <c r="K4" s="1" t="str">
        <f aca="false">IFERROR(F4/D4,"")</f>
        <v/>
      </c>
    </row>
    <row r="5" customFormat="false" ht="12.8" hidden="false" customHeight="false" outlineLevel="0" collapsed="false">
      <c r="A5" s="1" t="n">
        <v>4</v>
      </c>
      <c r="B5" s="1" t="n">
        <v>4076899</v>
      </c>
      <c r="C5" s="1" t="n">
        <v>22129</v>
      </c>
      <c r="D5" s="1" t="n">
        <v>32056.78</v>
      </c>
      <c r="E5" s="1" t="n">
        <v>216</v>
      </c>
      <c r="F5" s="1" t="n">
        <v>15747.74</v>
      </c>
      <c r="G5" s="1" t="n">
        <v>0.54</v>
      </c>
      <c r="H5" s="1" t="n">
        <v>1.45</v>
      </c>
      <c r="I5" s="1" t="n">
        <v>7.86</v>
      </c>
      <c r="J5" s="1" t="n">
        <v>148.41</v>
      </c>
      <c r="K5" s="1" t="n">
        <f aca="false">IFERROR(F5/D5,"")</f>
        <v>0.49124522175964</v>
      </c>
      <c r="O5" s="1" t="n">
        <v>2524740.59</v>
      </c>
    </row>
    <row r="6" customFormat="false" ht="12.8" hidden="false" customHeight="false" outlineLevel="0" collapsed="false">
      <c r="A6" s="1" t="n">
        <v>5</v>
      </c>
      <c r="B6" s="1" t="n">
        <v>14880136</v>
      </c>
      <c r="C6" s="1" t="n">
        <v>82538</v>
      </c>
      <c r="D6" s="1" t="n">
        <v>0</v>
      </c>
      <c r="E6" s="1" t="n">
        <v>754</v>
      </c>
      <c r="F6" s="1" t="n">
        <v>56515.28</v>
      </c>
      <c r="G6" s="1" t="n">
        <v>0.55</v>
      </c>
      <c r="H6" s="1" t="n">
        <v>0</v>
      </c>
      <c r="I6" s="1" t="n">
        <v>0</v>
      </c>
      <c r="J6" s="1" t="n">
        <v>0</v>
      </c>
      <c r="K6" s="1" t="str">
        <f aca="false">IFERROR(F6/D6,"")</f>
        <v/>
      </c>
    </row>
    <row r="7" customFormat="false" ht="12.8" hidden="false" customHeight="false" outlineLevel="0" collapsed="false">
      <c r="A7" s="1" t="n">
        <v>6</v>
      </c>
      <c r="B7" s="1" t="n">
        <v>25831878</v>
      </c>
      <c r="C7" s="1" t="n">
        <v>103365</v>
      </c>
      <c r="D7" s="1" t="n">
        <v>149718.02</v>
      </c>
      <c r="E7" s="1" t="n">
        <v>1036</v>
      </c>
      <c r="F7" s="1" t="n">
        <v>73123.85</v>
      </c>
      <c r="G7" s="1" t="n">
        <v>0.4</v>
      </c>
      <c r="H7" s="1" t="n">
        <v>1.45</v>
      </c>
      <c r="I7" s="1" t="n">
        <v>5.8</v>
      </c>
      <c r="J7" s="1" t="n">
        <v>144.52</v>
      </c>
      <c r="K7" s="1" t="n">
        <f aca="false">IFERROR(F7/D7,"")</f>
        <v>0.488410479914175</v>
      </c>
    </row>
    <row r="8" customFormat="false" ht="12.8" hidden="false" customHeight="false" outlineLevel="0" collapsed="false">
      <c r="A8" s="1" t="n">
        <v>7</v>
      </c>
      <c r="B8" s="1" t="n">
        <v>4873917</v>
      </c>
      <c r="C8" s="1" t="n">
        <v>24417</v>
      </c>
      <c r="D8" s="1" t="n">
        <v>0</v>
      </c>
      <c r="E8" s="1" t="n">
        <v>250</v>
      </c>
      <c r="F8" s="1" t="n">
        <v>17277.45</v>
      </c>
      <c r="G8" s="1" t="n">
        <v>0.5</v>
      </c>
      <c r="H8" s="1" t="n">
        <v>0</v>
      </c>
      <c r="I8" s="1" t="n">
        <v>0</v>
      </c>
      <c r="J8" s="1" t="n">
        <v>0</v>
      </c>
      <c r="K8" s="1" t="str">
        <f aca="false">IFERROR(F8/D8,"")</f>
        <v/>
      </c>
    </row>
    <row r="9" customFormat="false" ht="12.8" hidden="false" customHeight="false" outlineLevel="0" collapsed="false">
      <c r="A9" s="1" t="n">
        <v>8</v>
      </c>
      <c r="B9" s="1" t="n">
        <v>7901173</v>
      </c>
      <c r="C9" s="1" t="n">
        <v>40374</v>
      </c>
      <c r="D9" s="1" t="n">
        <v>0</v>
      </c>
      <c r="E9" s="1" t="n">
        <v>445</v>
      </c>
      <c r="F9" s="1" t="n">
        <v>33664.1</v>
      </c>
      <c r="G9" s="1" t="n">
        <v>0.51</v>
      </c>
      <c r="H9" s="1" t="n">
        <v>0</v>
      </c>
      <c r="I9" s="1" t="n">
        <v>0</v>
      </c>
      <c r="J9" s="1" t="n">
        <v>0</v>
      </c>
      <c r="K9" s="1" t="str">
        <f aca="false">IFERROR(F9/D9,"")</f>
        <v/>
      </c>
    </row>
    <row r="10" customFormat="false" ht="12.8" hidden="false" customHeight="false" outlineLevel="0" collapsed="false">
      <c r="A10" s="1" t="n">
        <v>9</v>
      </c>
      <c r="B10" s="1" t="n">
        <v>2833054</v>
      </c>
      <c r="C10" s="1" t="n">
        <v>14269</v>
      </c>
      <c r="D10" s="1" t="n">
        <v>0</v>
      </c>
      <c r="E10" s="1" t="n">
        <v>155</v>
      </c>
      <c r="F10" s="1" t="n">
        <v>11297.65</v>
      </c>
      <c r="G10" s="1" t="n">
        <v>0.5</v>
      </c>
      <c r="H10" s="1" t="n">
        <v>0</v>
      </c>
      <c r="I10" s="1" t="n">
        <v>0</v>
      </c>
      <c r="J10" s="1" t="n">
        <v>0</v>
      </c>
      <c r="K10" s="1" t="str">
        <f aca="false">IFERROR(F10/D10,"")</f>
        <v/>
      </c>
    </row>
    <row r="11" customFormat="false" ht="12.8" hidden="false" customHeight="false" outlineLevel="0" collapsed="false">
      <c r="A11" s="1" t="n">
        <v>10</v>
      </c>
      <c r="B11" s="1" t="n">
        <v>3887947</v>
      </c>
      <c r="C11" s="1" t="n">
        <v>15413</v>
      </c>
      <c r="D11" s="1" t="n">
        <v>0</v>
      </c>
      <c r="E11" s="1" t="n">
        <v>169</v>
      </c>
      <c r="F11" s="1" t="n">
        <v>12381.38</v>
      </c>
      <c r="G11" s="1" t="n">
        <v>0.4</v>
      </c>
      <c r="H11" s="1" t="n">
        <v>0</v>
      </c>
      <c r="I11" s="1" t="n">
        <v>0</v>
      </c>
      <c r="J11" s="1" t="n">
        <v>0</v>
      </c>
      <c r="K11" s="1" t="str">
        <f aca="false">IFERROR(F11/D11,"")</f>
        <v/>
      </c>
    </row>
    <row r="12" customFormat="false" ht="12.8" hidden="false" customHeight="false" outlineLevel="0" collapsed="false">
      <c r="A12" s="1" t="n">
        <v>11</v>
      </c>
      <c r="B12" s="1" t="n">
        <v>18806319</v>
      </c>
      <c r="C12" s="1" t="n">
        <v>52236</v>
      </c>
      <c r="D12" s="1" t="n">
        <v>0</v>
      </c>
      <c r="E12" s="1" t="n">
        <v>670</v>
      </c>
      <c r="F12" s="1" t="n">
        <v>55927.36</v>
      </c>
      <c r="G12" s="1" t="n">
        <v>0.28</v>
      </c>
      <c r="H12" s="1" t="n">
        <v>0</v>
      </c>
      <c r="I12" s="1" t="n">
        <v>0</v>
      </c>
      <c r="J12" s="1" t="n">
        <v>0</v>
      </c>
      <c r="K12" s="1" t="str">
        <f aca="false">IFERROR(F12/D12,"")</f>
        <v/>
      </c>
    </row>
    <row r="13" customFormat="false" ht="12.8" hidden="false" customHeight="false" outlineLevel="0" collapsed="false">
      <c r="A13" s="1" t="n">
        <v>12</v>
      </c>
      <c r="B13" s="1" t="n">
        <v>12642791</v>
      </c>
      <c r="C13" s="1" t="n">
        <v>42922</v>
      </c>
      <c r="D13" s="1" t="n">
        <v>61832.66</v>
      </c>
      <c r="E13" s="1" t="n">
        <v>545</v>
      </c>
      <c r="F13" s="1" t="n">
        <v>37989.83</v>
      </c>
      <c r="G13" s="1" t="n">
        <v>0.34</v>
      </c>
      <c r="H13" s="1" t="n">
        <v>1.44</v>
      </c>
      <c r="I13" s="1" t="n">
        <v>4.89</v>
      </c>
      <c r="J13" s="1" t="n">
        <v>113.45</v>
      </c>
      <c r="K13" s="1" t="n">
        <f aca="false">IFERROR(F13/D13,"")</f>
        <v>0.61439747214498</v>
      </c>
    </row>
    <row r="14" customFormat="false" ht="12.8" hidden="false" customHeight="false" outlineLevel="0" collapsed="false">
      <c r="A14" s="1" t="n">
        <v>13</v>
      </c>
      <c r="B14" s="1" t="n">
        <v>18987363</v>
      </c>
      <c r="C14" s="1" t="n">
        <v>100409</v>
      </c>
      <c r="D14" s="1" t="n">
        <v>143808.6</v>
      </c>
      <c r="E14" s="1" t="n">
        <v>982</v>
      </c>
      <c r="F14" s="1" t="n">
        <v>74320.53</v>
      </c>
      <c r="G14" s="1" t="n">
        <v>0.53</v>
      </c>
      <c r="H14" s="1" t="n">
        <v>1.43</v>
      </c>
      <c r="I14" s="1" t="n">
        <v>7.57</v>
      </c>
      <c r="J14" s="1" t="n">
        <v>146.44</v>
      </c>
      <c r="K14" s="1" t="n">
        <f aca="false">IFERROR(F14/D14,"")</f>
        <v>0.516801707269245</v>
      </c>
    </row>
    <row r="15" customFormat="false" ht="12.8" hidden="false" customHeight="false" outlineLevel="0" collapsed="false">
      <c r="A15" s="1" t="n">
        <v>14</v>
      </c>
      <c r="B15" s="1" t="n">
        <v>4363366</v>
      </c>
      <c r="C15" s="1" t="n">
        <v>22152</v>
      </c>
      <c r="D15" s="1" t="n">
        <v>0</v>
      </c>
      <c r="E15" s="1" t="n">
        <v>247</v>
      </c>
      <c r="F15" s="1" t="n">
        <v>18505.25</v>
      </c>
      <c r="G15" s="1" t="n">
        <v>0.51</v>
      </c>
      <c r="H15" s="1" t="n">
        <v>0</v>
      </c>
      <c r="I15" s="1" t="n">
        <v>0</v>
      </c>
      <c r="J15" s="1" t="n">
        <v>0</v>
      </c>
      <c r="K15" s="1" t="str">
        <f aca="false">IFERROR(F15/D15,"")</f>
        <v/>
      </c>
    </row>
    <row r="16" customFormat="false" ht="12.8" hidden="false" customHeight="false" outlineLevel="0" collapsed="false">
      <c r="A16" s="1" t="n">
        <v>15</v>
      </c>
      <c r="B16" s="1" t="n">
        <v>4545737</v>
      </c>
      <c r="C16" s="1" t="n">
        <v>27820</v>
      </c>
      <c r="D16" s="1" t="n">
        <v>0</v>
      </c>
      <c r="E16" s="1" t="n">
        <v>230</v>
      </c>
      <c r="F16" s="1" t="n">
        <v>16429.96</v>
      </c>
      <c r="G16" s="1" t="n">
        <v>0.61</v>
      </c>
      <c r="H16" s="1" t="n">
        <v>0</v>
      </c>
      <c r="I16" s="1" t="n">
        <v>0</v>
      </c>
      <c r="J16" s="1" t="n">
        <v>0</v>
      </c>
      <c r="K16" s="1" t="str">
        <f aca="false">IFERROR(F16/D16,"")</f>
        <v/>
      </c>
    </row>
    <row r="17" customFormat="false" ht="12.8" hidden="false" customHeight="false" outlineLevel="0" collapsed="false">
      <c r="A17" s="1" t="n">
        <v>16</v>
      </c>
      <c r="B17" s="1" t="n">
        <v>2082146</v>
      </c>
      <c r="C17" s="1" t="n">
        <v>15199</v>
      </c>
      <c r="D17" s="1" t="n">
        <v>22442.93</v>
      </c>
      <c r="E17" s="1" t="n">
        <v>180</v>
      </c>
      <c r="F17" s="1" t="n">
        <v>11534.85</v>
      </c>
      <c r="G17" s="1" t="n">
        <v>0.73</v>
      </c>
      <c r="H17" s="1" t="n">
        <v>1.48</v>
      </c>
      <c r="I17" s="1" t="n">
        <v>10.78</v>
      </c>
      <c r="J17" s="1" t="n">
        <v>124.68</v>
      </c>
      <c r="K17" s="1" t="n">
        <f aca="false">IFERROR(F17/D17,"")</f>
        <v>0.513963640219882</v>
      </c>
    </row>
    <row r="18" customFormat="false" ht="12.8" hidden="false" customHeight="false" outlineLevel="0" collapsed="false">
      <c r="A18" s="1" t="n">
        <v>17</v>
      </c>
      <c r="B18" s="1" t="n">
        <v>8994277</v>
      </c>
      <c r="C18" s="1" t="n">
        <v>35912</v>
      </c>
      <c r="D18" s="1" t="n">
        <v>52878.13</v>
      </c>
      <c r="E18" s="1" t="n">
        <v>379</v>
      </c>
      <c r="F18" s="1" t="n">
        <v>26673.34</v>
      </c>
      <c r="G18" s="1" t="n">
        <v>0.4</v>
      </c>
      <c r="H18" s="1" t="n">
        <v>1.47</v>
      </c>
      <c r="I18" s="1" t="n">
        <v>5.88</v>
      </c>
      <c r="J18" s="1" t="n">
        <v>139.52</v>
      </c>
      <c r="K18" s="1" t="n">
        <f aca="false">IFERROR(F18/D18,"")</f>
        <v>0.504430470593419</v>
      </c>
    </row>
    <row r="19" customFormat="false" ht="12.8" hidden="false" customHeight="false" outlineLevel="0" collapsed="false">
      <c r="A19" s="1" t="n">
        <v>18</v>
      </c>
      <c r="B19" s="1" t="n">
        <v>609296</v>
      </c>
      <c r="C19" s="1" t="n">
        <v>3799</v>
      </c>
      <c r="D19" s="1" t="n">
        <v>5230.07</v>
      </c>
      <c r="E19" s="1" t="n">
        <v>31</v>
      </c>
      <c r="F19" s="1" t="n">
        <v>2491.27</v>
      </c>
      <c r="G19" s="1" t="n">
        <v>0.62</v>
      </c>
      <c r="H19" s="1" t="n">
        <v>1.38</v>
      </c>
      <c r="I19" s="1" t="n">
        <v>8.58</v>
      </c>
      <c r="J19" s="1" t="n">
        <v>168.71</v>
      </c>
      <c r="K19" s="1" t="n">
        <f aca="false">IFERROR(F19/D19,"")</f>
        <v>0.47633588078171</v>
      </c>
    </row>
    <row r="20" customFormat="false" ht="12.8" hidden="false" customHeight="false" outlineLevel="0" collapsed="false">
      <c r="A20" s="1" t="n">
        <v>19</v>
      </c>
      <c r="B20" s="1" t="n">
        <v>18156546</v>
      </c>
      <c r="C20" s="1" t="n">
        <v>84452</v>
      </c>
      <c r="D20" s="1" t="n">
        <v>123082.42</v>
      </c>
      <c r="E20" s="1" t="n">
        <v>900</v>
      </c>
      <c r="F20" s="1" t="n">
        <v>65016.92</v>
      </c>
      <c r="G20" s="1" t="n">
        <v>0.47</v>
      </c>
      <c r="H20" s="1" t="n">
        <v>1.46</v>
      </c>
      <c r="I20" s="1" t="n">
        <v>6.78</v>
      </c>
      <c r="J20" s="1" t="n">
        <v>136.76</v>
      </c>
      <c r="K20" s="1" t="n">
        <f aca="false">IFERROR(F20/D20,"")</f>
        <v>0.528238882530909</v>
      </c>
    </row>
    <row r="21" customFormat="false" ht="12.8" hidden="false" customHeight="false" outlineLevel="0" collapsed="false">
      <c r="A21" s="1" t="n">
        <v>20</v>
      </c>
      <c r="B21" s="1" t="n">
        <v>3946713</v>
      </c>
      <c r="C21" s="1" t="n">
        <v>17626</v>
      </c>
      <c r="D21" s="1" t="n">
        <v>25421.79</v>
      </c>
      <c r="E21" s="1" t="n">
        <v>146</v>
      </c>
      <c r="F21" s="1" t="n">
        <v>10699.4</v>
      </c>
      <c r="G21" s="1" t="n">
        <v>0.45</v>
      </c>
      <c r="H21" s="1" t="n">
        <v>1.44</v>
      </c>
      <c r="I21" s="1" t="n">
        <v>6.44</v>
      </c>
      <c r="J21" s="1" t="n">
        <v>174.12</v>
      </c>
      <c r="K21" s="1" t="n">
        <f aca="false">IFERROR(F21/D21,"")</f>
        <v>0.420875162606567</v>
      </c>
    </row>
    <row r="22" customFormat="false" ht="12.8" hidden="false" customHeight="false" outlineLevel="0" collapsed="false">
      <c r="A22" s="1" t="n">
        <v>21</v>
      </c>
      <c r="B22" s="1" t="n">
        <v>1166570</v>
      </c>
      <c r="C22" s="1" t="n">
        <v>5808</v>
      </c>
      <c r="D22" s="1" t="n">
        <v>8127.04</v>
      </c>
      <c r="E22" s="1" t="n">
        <v>44</v>
      </c>
      <c r="F22" s="1" t="n">
        <v>3613.59</v>
      </c>
      <c r="G22" s="1" t="n">
        <v>0.5</v>
      </c>
      <c r="H22" s="1" t="n">
        <v>1.4</v>
      </c>
      <c r="I22" s="1" t="n">
        <v>6.97</v>
      </c>
      <c r="J22" s="1" t="n">
        <v>184.71</v>
      </c>
      <c r="K22" s="1" t="n">
        <f aca="false">IFERROR(F22/D22,"")</f>
        <v>0.444637900145687</v>
      </c>
    </row>
    <row r="23" customFormat="false" ht="12.8" hidden="false" customHeight="false" outlineLevel="0" collapsed="false">
      <c r="A23" s="1" t="n">
        <v>22</v>
      </c>
      <c r="B23" s="1" t="n">
        <v>1259104</v>
      </c>
      <c r="C23" s="1" t="n">
        <v>5699</v>
      </c>
      <c r="D23" s="1" t="n">
        <v>8496.38</v>
      </c>
      <c r="E23" s="1" t="n">
        <v>56</v>
      </c>
      <c r="F23" s="1" t="n">
        <v>5104.63</v>
      </c>
      <c r="G23" s="1" t="n">
        <v>0.45</v>
      </c>
      <c r="H23" s="1" t="n">
        <v>1.49</v>
      </c>
      <c r="I23" s="1" t="n">
        <v>6.75</v>
      </c>
      <c r="J23" s="1" t="n">
        <v>151.72</v>
      </c>
      <c r="K23" s="1" t="n">
        <f aca="false">IFERROR(F23/D23,"")</f>
        <v>0.600800576245413</v>
      </c>
    </row>
    <row r="24" customFormat="false" ht="12.8" hidden="false" customHeight="false" outlineLevel="0" collapsed="false">
      <c r="A24" s="1" t="n">
        <v>23</v>
      </c>
      <c r="B24" s="1" t="n">
        <v>4786209</v>
      </c>
      <c r="C24" s="1" t="n">
        <v>17976</v>
      </c>
      <c r="D24" s="1" t="n">
        <v>0</v>
      </c>
      <c r="E24" s="1" t="n">
        <v>248</v>
      </c>
      <c r="F24" s="1" t="n">
        <v>18331.86</v>
      </c>
      <c r="G24" s="1" t="n">
        <v>0.38</v>
      </c>
      <c r="H24" s="1" t="n">
        <v>0</v>
      </c>
      <c r="I24" s="1" t="n">
        <v>0</v>
      </c>
      <c r="J24" s="1" t="n">
        <v>0</v>
      </c>
      <c r="K24" s="1" t="str">
        <f aca="false">IFERROR(F24/D24,"")</f>
        <v/>
      </c>
    </row>
    <row r="25" customFormat="false" ht="12.8" hidden="false" customHeight="false" outlineLevel="0" collapsed="false">
      <c r="A25" s="1" t="n">
        <v>24</v>
      </c>
      <c r="B25" s="1" t="n">
        <v>2691989</v>
      </c>
      <c r="C25" s="1" t="n">
        <v>12077</v>
      </c>
      <c r="D25" s="1" t="n">
        <v>17920.15</v>
      </c>
      <c r="E25" s="1" t="n">
        <v>148</v>
      </c>
      <c r="F25" s="1" t="n">
        <v>11015.31</v>
      </c>
      <c r="G25" s="1" t="n">
        <v>0.45</v>
      </c>
      <c r="H25" s="1" t="n">
        <v>1.48</v>
      </c>
      <c r="I25" s="1" t="n">
        <v>6.66</v>
      </c>
      <c r="J25" s="1" t="n">
        <v>121.08</v>
      </c>
      <c r="K25" s="1" t="n">
        <f aca="false">IFERROR(F25/D25,"")</f>
        <v>0.614688493120872</v>
      </c>
    </row>
    <row r="26" customFormat="false" ht="12.8" hidden="false" customHeight="false" outlineLevel="0" collapsed="false">
      <c r="A26" s="1" t="n">
        <v>25</v>
      </c>
      <c r="B26" s="1" t="n">
        <v>5954080</v>
      </c>
      <c r="C26" s="1" t="n">
        <v>17267</v>
      </c>
      <c r="D26" s="1" t="n">
        <v>23758.53</v>
      </c>
      <c r="E26" s="1" t="n">
        <v>204</v>
      </c>
      <c r="F26" s="1" t="n">
        <v>15054.48</v>
      </c>
      <c r="G26" s="1" t="n">
        <v>0.29</v>
      </c>
      <c r="H26" s="1" t="n">
        <v>1.38</v>
      </c>
      <c r="I26" s="1" t="n">
        <v>3.99</v>
      </c>
      <c r="J26" s="1" t="n">
        <v>116.46</v>
      </c>
      <c r="K26" s="1" t="n">
        <f aca="false">IFERROR(F26/D26,"")</f>
        <v>0.633645263406448</v>
      </c>
    </row>
    <row r="27" customFormat="false" ht="12.8" hidden="false" customHeight="false" outlineLevel="0" collapsed="false">
      <c r="A27" s="1" t="n">
        <v>26</v>
      </c>
      <c r="B27" s="1" t="n">
        <v>10275714</v>
      </c>
      <c r="C27" s="1" t="n">
        <v>32631</v>
      </c>
      <c r="D27" s="1" t="n">
        <v>46502.59</v>
      </c>
      <c r="E27" s="1" t="n">
        <v>375</v>
      </c>
      <c r="F27" s="1" t="n">
        <v>29994.79</v>
      </c>
      <c r="G27" s="1" t="n">
        <v>0.32</v>
      </c>
      <c r="H27" s="1" t="n">
        <v>1.43</v>
      </c>
      <c r="I27" s="1" t="n">
        <v>4.53</v>
      </c>
      <c r="J27" s="1" t="n">
        <v>124.01</v>
      </c>
      <c r="K27" s="1" t="n">
        <f aca="false">IFERROR(F27/D27,"")</f>
        <v>0.645013320763424</v>
      </c>
    </row>
    <row r="28" customFormat="false" ht="12.8" hidden="false" customHeight="false" outlineLevel="0" collapsed="false">
      <c r="A28" s="1" t="n">
        <v>27</v>
      </c>
      <c r="B28" s="1" t="n">
        <v>2320323</v>
      </c>
      <c r="C28" s="1" t="n">
        <v>11346</v>
      </c>
      <c r="D28" s="1" t="n">
        <v>17788.47</v>
      </c>
      <c r="E28" s="1" t="n">
        <v>113</v>
      </c>
      <c r="F28" s="1" t="n">
        <v>8495.51</v>
      </c>
      <c r="G28" s="1" t="n">
        <v>0.49</v>
      </c>
      <c r="H28" s="1" t="n">
        <v>1.57</v>
      </c>
      <c r="I28" s="1" t="n">
        <v>7.67</v>
      </c>
      <c r="J28" s="1" t="n">
        <v>157.42</v>
      </c>
      <c r="K28" s="1" t="n">
        <f aca="false">IFERROR(F28/D28,"")</f>
        <v>0.477585199851364</v>
      </c>
    </row>
    <row r="29" customFormat="false" ht="12.8" hidden="false" customHeight="false" outlineLevel="0" collapsed="false">
      <c r="A29" s="1" t="n">
        <v>28</v>
      </c>
      <c r="B29" s="1" t="n">
        <v>2226630</v>
      </c>
      <c r="C29" s="1" t="n">
        <v>13801</v>
      </c>
      <c r="D29" s="1" t="n">
        <v>19611.9</v>
      </c>
      <c r="E29" s="1" t="n">
        <v>131</v>
      </c>
      <c r="F29" s="1" t="n">
        <v>9330.75</v>
      </c>
      <c r="G29" s="1" t="n">
        <v>0.62</v>
      </c>
      <c r="H29" s="1" t="n">
        <v>1.42</v>
      </c>
      <c r="I29" s="1" t="n">
        <v>8.81</v>
      </c>
      <c r="J29" s="1" t="n">
        <v>149.71</v>
      </c>
      <c r="K29" s="1" t="n">
        <f aca="false">IFERROR(F29/D29,"")</f>
        <v>0.475769813225644</v>
      </c>
    </row>
    <row r="30" customFormat="false" ht="12.8" hidden="false" customHeight="false" outlineLevel="0" collapsed="false">
      <c r="A30" s="1" t="n">
        <v>29</v>
      </c>
      <c r="B30" s="1" t="n">
        <v>2716647</v>
      </c>
      <c r="C30" s="1" t="n">
        <v>10036</v>
      </c>
      <c r="D30" s="1" t="n">
        <v>13926.8</v>
      </c>
      <c r="E30" s="1" t="n">
        <v>98</v>
      </c>
      <c r="F30" s="1" t="n">
        <v>5794.32</v>
      </c>
      <c r="G30" s="1" t="n">
        <v>0.37</v>
      </c>
      <c r="H30" s="1" t="n">
        <v>1.39</v>
      </c>
      <c r="I30" s="1" t="n">
        <v>5.13</v>
      </c>
      <c r="J30" s="1" t="n">
        <v>142.11</v>
      </c>
      <c r="K30" s="1" t="n">
        <f aca="false">IFERROR(F30/D30,"")</f>
        <v>0.416055375247724</v>
      </c>
    </row>
    <row r="31" customFormat="false" ht="12.8" hidden="false" customHeight="false" outlineLevel="0" collapsed="false">
      <c r="A31" s="1" t="n">
        <v>30</v>
      </c>
      <c r="B31" s="1" t="n">
        <v>4123418</v>
      </c>
      <c r="C31" s="1" t="n">
        <v>18735</v>
      </c>
      <c r="D31" s="1" t="n">
        <v>0</v>
      </c>
      <c r="E31" s="1" t="n">
        <v>224</v>
      </c>
      <c r="F31" s="1" t="n">
        <v>16334.31</v>
      </c>
      <c r="G31" s="1" t="n">
        <v>0.45</v>
      </c>
      <c r="H31" s="1" t="n">
        <v>0</v>
      </c>
      <c r="I31" s="1" t="n">
        <v>0</v>
      </c>
      <c r="J31" s="1" t="n">
        <v>0</v>
      </c>
      <c r="K31" s="1" t="str">
        <f aca="false">IFERROR(F31/D31,"")</f>
        <v/>
      </c>
    </row>
    <row r="32" customFormat="false" ht="12.8" hidden="false" customHeight="false" outlineLevel="0" collapsed="false">
      <c r="A32" s="1" t="n">
        <v>31</v>
      </c>
      <c r="B32" s="1" t="n">
        <v>15836010</v>
      </c>
      <c r="C32" s="1" t="n">
        <v>46678</v>
      </c>
      <c r="D32" s="1" t="n">
        <v>66750.49</v>
      </c>
      <c r="E32" s="1" t="n">
        <v>509</v>
      </c>
      <c r="F32" s="1" t="n">
        <v>35278.32</v>
      </c>
      <c r="G32" s="1" t="n">
        <v>0.29</v>
      </c>
      <c r="H32" s="1" t="n">
        <v>1.43</v>
      </c>
      <c r="I32" s="1" t="n">
        <v>4.22</v>
      </c>
      <c r="J32" s="1" t="n">
        <v>131.14</v>
      </c>
      <c r="K32" s="1" t="n">
        <f aca="false">IFERROR(F32/D32,"")</f>
        <v>0.528510277602457</v>
      </c>
    </row>
    <row r="33" customFormat="false" ht="12.8" hidden="false" customHeight="false" outlineLevel="0" collapsed="false">
      <c r="A33" s="1" t="n">
        <v>32</v>
      </c>
      <c r="B33" s="1" t="n">
        <v>614533</v>
      </c>
      <c r="C33" s="1" t="n">
        <v>4641</v>
      </c>
      <c r="D33" s="1" t="n">
        <v>0</v>
      </c>
      <c r="E33" s="1" t="n">
        <v>47</v>
      </c>
      <c r="F33" s="1" t="n">
        <v>3171.63</v>
      </c>
      <c r="G33" s="1" t="n">
        <v>0.76</v>
      </c>
      <c r="H33" s="1" t="n">
        <v>0</v>
      </c>
      <c r="I33" s="1" t="n">
        <v>0</v>
      </c>
      <c r="J33" s="1" t="n">
        <v>0</v>
      </c>
      <c r="K33" s="1" t="str">
        <f aca="false">IFERROR(F33/D33,"")</f>
        <v/>
      </c>
    </row>
    <row r="34" customFormat="false" ht="12.8" hidden="false" customHeight="false" outlineLevel="0" collapsed="false">
      <c r="A34" s="1" t="n">
        <v>33</v>
      </c>
      <c r="B34" s="1" t="n">
        <v>1438103</v>
      </c>
      <c r="C34" s="1" t="n">
        <v>10769</v>
      </c>
      <c r="D34" s="1" t="n">
        <v>15824.06</v>
      </c>
      <c r="E34" s="1" t="n">
        <v>96</v>
      </c>
      <c r="F34" s="1" t="n">
        <v>6320.83</v>
      </c>
      <c r="G34" s="1" t="n">
        <v>0.75</v>
      </c>
      <c r="H34" s="1" t="n">
        <v>1.47</v>
      </c>
      <c r="I34" s="1" t="n">
        <v>11</v>
      </c>
      <c r="J34" s="1" t="n">
        <v>164.83</v>
      </c>
      <c r="K34" s="1" t="n">
        <f aca="false">IFERROR(F34/D34,"")</f>
        <v>0.399444263987877</v>
      </c>
    </row>
    <row r="35" customFormat="false" ht="12.8" hidden="false" customHeight="false" outlineLevel="0" collapsed="false">
      <c r="A35" s="1" t="n">
        <v>34</v>
      </c>
      <c r="B35" s="1" t="n">
        <v>301482</v>
      </c>
      <c r="C35" s="1" t="n">
        <v>2081</v>
      </c>
      <c r="D35" s="1" t="n">
        <v>3083.67</v>
      </c>
      <c r="E35" s="1" t="n">
        <v>20</v>
      </c>
      <c r="F35" s="1" t="n">
        <v>1643.34</v>
      </c>
      <c r="G35" s="1" t="n">
        <v>0.69</v>
      </c>
      <c r="H35" s="1" t="n">
        <v>1.48</v>
      </c>
      <c r="I35" s="1" t="n">
        <v>10.23</v>
      </c>
      <c r="J35" s="1" t="n">
        <v>154.18</v>
      </c>
      <c r="K35" s="1" t="n">
        <f aca="false">IFERROR(F35/D35,"")</f>
        <v>0.532916946365856</v>
      </c>
    </row>
    <row r="36" customFormat="false" ht="12.8" hidden="false" customHeight="false" outlineLevel="0" collapsed="false">
      <c r="A36" s="1" t="n">
        <v>35</v>
      </c>
      <c r="B36" s="1" t="n">
        <v>3757421</v>
      </c>
      <c r="C36" s="1" t="n">
        <v>19540</v>
      </c>
      <c r="D36" s="1" t="n">
        <v>28818.33</v>
      </c>
      <c r="E36" s="1" t="n">
        <v>195</v>
      </c>
      <c r="F36" s="1" t="n">
        <v>13999.23</v>
      </c>
      <c r="G36" s="1" t="n">
        <v>0.52</v>
      </c>
      <c r="H36" s="1" t="n">
        <v>1.47</v>
      </c>
      <c r="I36" s="1" t="n">
        <v>7.67</v>
      </c>
      <c r="J36" s="1" t="n">
        <v>147.79</v>
      </c>
      <c r="K36" s="1" t="n">
        <f aca="false">IFERROR(F36/D36,"")</f>
        <v>0.485775199326262</v>
      </c>
    </row>
    <row r="37" customFormat="false" ht="12.8" hidden="false" customHeight="false" outlineLevel="0" collapsed="false">
      <c r="A37" s="1" t="n">
        <v>36</v>
      </c>
      <c r="B37" s="1" t="n">
        <v>1921464</v>
      </c>
      <c r="C37" s="1" t="n">
        <v>16679</v>
      </c>
      <c r="D37" s="1" t="n">
        <v>0</v>
      </c>
      <c r="E37" s="1" t="n">
        <v>150</v>
      </c>
      <c r="F37" s="1" t="n">
        <v>10009.67</v>
      </c>
      <c r="G37" s="1" t="n">
        <v>0.87</v>
      </c>
      <c r="H37" s="1" t="n">
        <v>0</v>
      </c>
      <c r="I37" s="1" t="n">
        <v>0</v>
      </c>
      <c r="J37" s="1" t="n">
        <v>0</v>
      </c>
      <c r="K37" s="1" t="str">
        <f aca="false">IFERROR(F37/D37,"")</f>
        <v/>
      </c>
    </row>
    <row r="38" customFormat="false" ht="12.8" hidden="false" customHeight="false" outlineLevel="0" collapsed="false">
      <c r="A38" s="1" t="n">
        <v>37</v>
      </c>
      <c r="B38" s="1" t="n">
        <v>1750640</v>
      </c>
      <c r="C38" s="1" t="n">
        <v>14158</v>
      </c>
      <c r="D38" s="1" t="n">
        <v>0</v>
      </c>
      <c r="E38" s="1" t="n">
        <v>107</v>
      </c>
      <c r="F38" s="1" t="n">
        <v>7936.84</v>
      </c>
      <c r="G38" s="1" t="n">
        <v>0.81</v>
      </c>
      <c r="H38" s="1" t="n">
        <v>0</v>
      </c>
      <c r="I38" s="1" t="n">
        <v>0</v>
      </c>
      <c r="J38" s="1" t="n">
        <v>0</v>
      </c>
      <c r="K38" s="1" t="str">
        <f aca="false">IFERROR(F38/D38,"")</f>
        <v/>
      </c>
    </row>
    <row r="39" customFormat="false" ht="12.8" hidden="false" customHeight="false" outlineLevel="0" collapsed="false">
      <c r="A39" s="1" t="n">
        <v>38</v>
      </c>
      <c r="B39" s="1" t="n">
        <v>285031</v>
      </c>
      <c r="C39" s="1" t="n">
        <v>3272</v>
      </c>
      <c r="D39" s="1" t="n">
        <v>4523.54</v>
      </c>
      <c r="E39" s="1" t="n">
        <v>27</v>
      </c>
      <c r="F39" s="1" t="n">
        <v>2342.6</v>
      </c>
      <c r="G39" s="1" t="n">
        <v>1.15</v>
      </c>
      <c r="H39" s="1" t="n">
        <v>1.38</v>
      </c>
      <c r="I39" s="1" t="n">
        <v>15.87</v>
      </c>
      <c r="J39" s="1" t="n">
        <v>167.54</v>
      </c>
      <c r="K39" s="1" t="n">
        <f aca="false">IFERROR(F39/D39,"")</f>
        <v>0.517868748811771</v>
      </c>
    </row>
    <row r="40" customFormat="false" ht="12.8" hidden="false" customHeight="false" outlineLevel="0" collapsed="false">
      <c r="A40" s="1" t="n">
        <v>39</v>
      </c>
      <c r="B40" s="1" t="n">
        <v>1722761</v>
      </c>
      <c r="C40" s="1" t="n">
        <v>6768</v>
      </c>
      <c r="D40" s="1" t="n">
        <v>10150.59</v>
      </c>
      <c r="E40" s="1" t="n">
        <v>69</v>
      </c>
      <c r="F40" s="1" t="n">
        <v>4997.3</v>
      </c>
      <c r="G40" s="1" t="n">
        <v>0.39</v>
      </c>
      <c r="H40" s="1" t="n">
        <v>1.5</v>
      </c>
      <c r="I40" s="1" t="n">
        <v>5.89</v>
      </c>
      <c r="J40" s="1" t="n">
        <v>147.11</v>
      </c>
      <c r="K40" s="1" t="n">
        <f aca="false">IFERROR(F40/D40,"")</f>
        <v>0.492316210190738</v>
      </c>
    </row>
    <row r="41" customFormat="false" ht="12.8" hidden="false" customHeight="false" outlineLevel="0" collapsed="false">
      <c r="A41" s="1" t="n">
        <v>40</v>
      </c>
      <c r="B41" s="1" t="n">
        <v>6134855</v>
      </c>
      <c r="C41" s="1" t="n">
        <v>25079</v>
      </c>
      <c r="D41" s="1" t="n">
        <v>0</v>
      </c>
      <c r="E41" s="1" t="n">
        <v>281</v>
      </c>
      <c r="F41" s="1" t="n">
        <v>23807.98</v>
      </c>
      <c r="G41" s="1" t="n">
        <v>0.41</v>
      </c>
      <c r="H41" s="1" t="n">
        <v>0</v>
      </c>
      <c r="I41" s="1" t="n">
        <v>0</v>
      </c>
      <c r="J41" s="1" t="n">
        <v>0</v>
      </c>
      <c r="K41" s="1" t="str">
        <f aca="false">IFERROR(F41/D41,"")</f>
        <v/>
      </c>
    </row>
    <row r="42" customFormat="false" ht="12.8" hidden="false" customHeight="false" outlineLevel="0" collapsed="false">
      <c r="A42" s="1" t="n">
        <v>41</v>
      </c>
      <c r="B42" s="1" t="n">
        <v>294208</v>
      </c>
      <c r="C42" s="1" t="n">
        <v>3518</v>
      </c>
      <c r="D42" s="1" t="n">
        <v>5308.87</v>
      </c>
      <c r="E42" s="1" t="n">
        <v>21</v>
      </c>
      <c r="F42" s="1" t="n">
        <v>2101.55</v>
      </c>
      <c r="G42" s="1" t="n">
        <v>1.2</v>
      </c>
      <c r="H42" s="1" t="n">
        <v>1.51</v>
      </c>
      <c r="I42" s="1" t="n">
        <v>18.04</v>
      </c>
      <c r="J42" s="1" t="n">
        <v>252.8</v>
      </c>
      <c r="K42" s="1" t="n">
        <f aca="false">IFERROR(F42/D42,"")</f>
        <v>0.395856368681094</v>
      </c>
    </row>
    <row r="43" customFormat="false" ht="12.8" hidden="false" customHeight="false" outlineLevel="0" collapsed="false">
      <c r="A43" s="1" t="n">
        <v>42</v>
      </c>
      <c r="B43" s="1" t="n">
        <v>485570</v>
      </c>
      <c r="C43" s="1" t="n">
        <v>4472</v>
      </c>
      <c r="D43" s="1" t="n">
        <v>6317.97</v>
      </c>
      <c r="E43" s="1" t="n">
        <v>35</v>
      </c>
      <c r="F43" s="1" t="n">
        <v>2426.36</v>
      </c>
      <c r="G43" s="1" t="n">
        <v>0.92</v>
      </c>
      <c r="H43" s="1" t="n">
        <v>1.41</v>
      </c>
      <c r="I43" s="1" t="n">
        <v>13.01</v>
      </c>
      <c r="J43" s="1" t="n">
        <v>180.51</v>
      </c>
      <c r="K43" s="1" t="n">
        <f aca="false">IFERROR(F43/D43,"")</f>
        <v>0.38404107648501</v>
      </c>
    </row>
    <row r="44" customFormat="false" ht="12.8" hidden="false" customHeight="false" outlineLevel="0" collapsed="false">
      <c r="A44" s="1" t="n">
        <v>43</v>
      </c>
      <c r="B44" s="1" t="n">
        <v>4357521</v>
      </c>
      <c r="C44" s="1" t="n">
        <v>26869</v>
      </c>
      <c r="D44" s="1" t="n">
        <v>0</v>
      </c>
      <c r="E44" s="1" t="n">
        <v>283</v>
      </c>
      <c r="F44" s="1" t="n">
        <v>21508.91</v>
      </c>
      <c r="G44" s="1" t="n">
        <v>0.62</v>
      </c>
      <c r="H44" s="1" t="n">
        <v>0</v>
      </c>
      <c r="I44" s="1" t="n">
        <v>0</v>
      </c>
      <c r="J44" s="1" t="n">
        <v>0</v>
      </c>
      <c r="K44" s="1" t="str">
        <f aca="false">IFERROR(F44/D44,"")</f>
        <v/>
      </c>
    </row>
    <row r="45" customFormat="false" ht="12.8" hidden="false" customHeight="false" outlineLevel="0" collapsed="false">
      <c r="A45" s="1" t="n">
        <v>44</v>
      </c>
      <c r="B45" s="1" t="n">
        <v>10928193</v>
      </c>
      <c r="C45" s="1" t="n">
        <v>37385</v>
      </c>
      <c r="D45" s="1" t="n">
        <v>0</v>
      </c>
      <c r="E45" s="1" t="n">
        <v>448</v>
      </c>
      <c r="F45" s="1" t="n">
        <v>31213.2</v>
      </c>
      <c r="G45" s="1" t="n">
        <v>0.34</v>
      </c>
      <c r="H45" s="1" t="n">
        <v>0</v>
      </c>
      <c r="I45" s="1" t="n">
        <v>0</v>
      </c>
      <c r="J45" s="1" t="n">
        <v>0</v>
      </c>
      <c r="K45" s="1" t="str">
        <f aca="false">IFERROR(F45/D45,"")</f>
        <v/>
      </c>
    </row>
    <row r="46" customFormat="false" ht="12.8" hidden="false" customHeight="false" outlineLevel="0" collapsed="false">
      <c r="A46" s="1" t="n">
        <v>45</v>
      </c>
      <c r="B46" s="1" t="n">
        <v>1724370</v>
      </c>
      <c r="C46" s="1" t="n">
        <v>10317</v>
      </c>
      <c r="D46" s="1" t="n">
        <v>0</v>
      </c>
      <c r="E46" s="1" t="n">
        <v>113</v>
      </c>
      <c r="F46" s="1" t="n">
        <v>6604.33</v>
      </c>
      <c r="G46" s="1" t="n">
        <v>0.6</v>
      </c>
      <c r="H46" s="1" t="n">
        <v>0</v>
      </c>
      <c r="I46" s="1" t="n">
        <v>0</v>
      </c>
      <c r="J46" s="1" t="n">
        <v>0</v>
      </c>
      <c r="K46" s="1" t="str">
        <f aca="false">IFERROR(F46/D46,"")</f>
        <v/>
      </c>
    </row>
    <row r="47" customFormat="false" ht="12.8" hidden="false" customHeight="false" outlineLevel="0" collapsed="false">
      <c r="A47" s="1" t="n">
        <v>46</v>
      </c>
      <c r="B47" s="1" t="n">
        <v>5667269</v>
      </c>
      <c r="C47" s="1" t="n">
        <v>18237</v>
      </c>
      <c r="D47" s="1" t="n">
        <v>0</v>
      </c>
      <c r="E47" s="1" t="n">
        <v>199</v>
      </c>
      <c r="F47" s="1" t="n">
        <v>14535.19</v>
      </c>
      <c r="G47" s="1" t="n">
        <v>0.32</v>
      </c>
      <c r="H47" s="1" t="n">
        <v>0</v>
      </c>
      <c r="I47" s="1" t="n">
        <v>0</v>
      </c>
      <c r="J47" s="1" t="n">
        <v>0</v>
      </c>
      <c r="K47" s="1" t="str">
        <f aca="false">IFERROR(F47/D47,"")</f>
        <v/>
      </c>
    </row>
    <row r="48" customFormat="false" ht="12.8" hidden="false" customHeight="false" outlineLevel="0" collapsed="false">
      <c r="A48" s="1" t="n">
        <v>47</v>
      </c>
      <c r="B48" s="1" t="n">
        <v>854763</v>
      </c>
      <c r="C48" s="1" t="n">
        <v>7347</v>
      </c>
      <c r="D48" s="1" t="n">
        <v>10353.45</v>
      </c>
      <c r="E48" s="1" t="n">
        <v>46</v>
      </c>
      <c r="F48" s="1" t="n">
        <v>3715.43</v>
      </c>
      <c r="G48" s="1" t="n">
        <v>0.86</v>
      </c>
      <c r="H48" s="1" t="n">
        <v>1.41</v>
      </c>
      <c r="I48" s="1" t="n">
        <v>12.11</v>
      </c>
      <c r="J48" s="1" t="n">
        <v>225.08</v>
      </c>
      <c r="K48" s="1" t="n">
        <f aca="false">IFERROR(F48/D48,"")</f>
        <v>0.358859124253268</v>
      </c>
    </row>
    <row r="49" customFormat="false" ht="12.8" hidden="false" customHeight="false" outlineLevel="0" collapsed="false">
      <c r="A49" s="1" t="n">
        <v>48</v>
      </c>
      <c r="B49" s="1" t="n">
        <v>7322476</v>
      </c>
      <c r="C49" s="1" t="n">
        <v>19933</v>
      </c>
      <c r="D49" s="1" t="n">
        <v>28098.99</v>
      </c>
      <c r="E49" s="1" t="n">
        <v>239</v>
      </c>
      <c r="F49" s="1" t="n">
        <v>16095.46</v>
      </c>
      <c r="G49" s="1" t="n">
        <v>0.27</v>
      </c>
      <c r="H49" s="1" t="n">
        <v>1.41</v>
      </c>
      <c r="I49" s="1" t="n">
        <v>3.84</v>
      </c>
      <c r="J49" s="1" t="n">
        <v>117.57</v>
      </c>
      <c r="K49" s="1" t="n">
        <f aca="false">IFERROR(F49/D49,"")</f>
        <v>0.572812759462173</v>
      </c>
    </row>
    <row r="50" customFormat="false" ht="12.8" hidden="false" customHeight="false" outlineLevel="0" collapsed="false">
      <c r="A50" s="1" t="n">
        <v>49</v>
      </c>
      <c r="B50" s="1" t="n">
        <v>1352284</v>
      </c>
      <c r="C50" s="1" t="n">
        <v>10830</v>
      </c>
      <c r="D50" s="1" t="n">
        <v>15451.23</v>
      </c>
      <c r="E50" s="1" t="n">
        <v>107</v>
      </c>
      <c r="F50" s="1" t="n">
        <v>7907.53</v>
      </c>
      <c r="G50" s="1" t="n">
        <v>0.8</v>
      </c>
      <c r="H50" s="1" t="n">
        <v>1.43</v>
      </c>
      <c r="I50" s="1" t="n">
        <v>11.43</v>
      </c>
      <c r="J50" s="1" t="n">
        <v>144.4</v>
      </c>
      <c r="K50" s="1" t="n">
        <f aca="false">IFERROR(F50/D50,"")</f>
        <v>0.511773496349482</v>
      </c>
    </row>
    <row r="51" customFormat="false" ht="12.8" hidden="false" customHeight="false" outlineLevel="0" collapsed="false">
      <c r="A51" s="1" t="n">
        <v>50</v>
      </c>
      <c r="B51" s="1" t="n">
        <v>84900</v>
      </c>
      <c r="C51" s="1" t="n">
        <v>887</v>
      </c>
      <c r="D51" s="1" t="n">
        <v>0</v>
      </c>
      <c r="E51" s="1" t="n">
        <v>4</v>
      </c>
      <c r="F51" s="1" t="n">
        <v>408.34</v>
      </c>
      <c r="G51" s="1" t="n">
        <v>1.04</v>
      </c>
      <c r="H51" s="1" t="n">
        <v>0</v>
      </c>
      <c r="I51" s="1" t="n">
        <v>0</v>
      </c>
      <c r="J51" s="1" t="n">
        <v>0</v>
      </c>
      <c r="K51" s="1" t="str">
        <f aca="false">IFERROR(F51/D51,"")</f>
        <v/>
      </c>
    </row>
    <row r="52" customFormat="false" ht="12.8" hidden="false" customHeight="false" outlineLevel="0" collapsed="false">
      <c r="A52" s="1" t="n">
        <v>51</v>
      </c>
      <c r="B52" s="1" t="n">
        <v>246625</v>
      </c>
      <c r="C52" s="1" t="n">
        <v>2299</v>
      </c>
      <c r="D52" s="1" t="n">
        <v>3496.2</v>
      </c>
      <c r="E52" s="1" t="n">
        <v>11</v>
      </c>
      <c r="F52" s="1" t="n">
        <v>801.42</v>
      </c>
      <c r="G52" s="1" t="n">
        <v>0.93</v>
      </c>
      <c r="H52" s="1" t="n">
        <v>1.52</v>
      </c>
      <c r="I52" s="1" t="n">
        <v>14.18</v>
      </c>
      <c r="J52" s="1" t="n">
        <v>317.84</v>
      </c>
      <c r="K52" s="1" t="n">
        <f aca="false">IFERROR(F52/D52,"")</f>
        <v>0.22922601681826</v>
      </c>
    </row>
    <row r="53" customFormat="false" ht="12.8" hidden="false" customHeight="false" outlineLevel="0" collapsed="false">
      <c r="A53" s="1" t="n">
        <v>52</v>
      </c>
      <c r="B53" s="1" t="n">
        <v>5826165</v>
      </c>
      <c r="C53" s="1" t="n">
        <v>18899</v>
      </c>
      <c r="D53" s="1" t="n">
        <v>28820.82</v>
      </c>
      <c r="E53" s="1" t="n">
        <v>233</v>
      </c>
      <c r="F53" s="1" t="n">
        <v>16851.78</v>
      </c>
      <c r="G53" s="1" t="n">
        <v>0.32</v>
      </c>
      <c r="H53" s="1" t="n">
        <v>1.52</v>
      </c>
      <c r="I53" s="1" t="n">
        <v>4.95</v>
      </c>
      <c r="J53" s="1" t="n">
        <v>123.69</v>
      </c>
      <c r="K53" s="1" t="n">
        <f aca="false">IFERROR(F53/D53,"")</f>
        <v>0.584708554440852</v>
      </c>
    </row>
    <row r="54" customFormat="false" ht="12.8" hidden="false" customHeight="false" outlineLevel="0" collapsed="false">
      <c r="A54" s="1" t="n">
        <v>53</v>
      </c>
      <c r="B54" s="1" t="n">
        <v>2786221</v>
      </c>
      <c r="C54" s="1" t="n">
        <v>13080</v>
      </c>
      <c r="D54" s="1" t="n">
        <v>19060.92</v>
      </c>
      <c r="E54" s="1" t="n">
        <v>172</v>
      </c>
      <c r="F54" s="1" t="n">
        <v>12069.91</v>
      </c>
      <c r="G54" s="1" t="n">
        <v>0.47</v>
      </c>
      <c r="H54" s="1" t="n">
        <v>1.46</v>
      </c>
      <c r="I54" s="1" t="n">
        <v>6.84</v>
      </c>
      <c r="J54" s="1" t="n">
        <v>110.82</v>
      </c>
      <c r="K54" s="1" t="n">
        <f aca="false">IFERROR(F54/D54,"")</f>
        <v>0.63322809182348</v>
      </c>
    </row>
    <row r="55" customFormat="false" ht="12.8" hidden="false" customHeight="false" outlineLevel="0" collapsed="false">
      <c r="A55" s="1" t="n">
        <v>54</v>
      </c>
      <c r="B55" s="1" t="n">
        <v>2722084</v>
      </c>
      <c r="C55" s="1" t="n">
        <v>6712</v>
      </c>
      <c r="D55" s="1" t="n">
        <v>0</v>
      </c>
      <c r="E55" s="1" t="n">
        <v>83</v>
      </c>
      <c r="F55" s="1" t="n">
        <v>6661.04</v>
      </c>
      <c r="G55" s="1" t="n">
        <v>0.25</v>
      </c>
      <c r="H55" s="1" t="n">
        <v>0</v>
      </c>
      <c r="I55" s="1" t="n">
        <v>0</v>
      </c>
      <c r="J55" s="1" t="n">
        <v>0</v>
      </c>
      <c r="K55" s="1" t="str">
        <f aca="false">IFERROR(F55/D55,"")</f>
        <v/>
      </c>
    </row>
    <row r="56" customFormat="false" ht="12.8" hidden="false" customHeight="false" outlineLevel="0" collapsed="false">
      <c r="A56" s="1" t="n">
        <v>55</v>
      </c>
      <c r="B56" s="1" t="n">
        <v>1399060</v>
      </c>
      <c r="C56" s="1" t="n">
        <v>3923</v>
      </c>
      <c r="D56" s="1" t="n">
        <v>0</v>
      </c>
      <c r="E56" s="1" t="n">
        <v>51</v>
      </c>
      <c r="F56" s="1" t="n">
        <v>3606.15</v>
      </c>
      <c r="G56" s="1" t="n">
        <v>0.28</v>
      </c>
      <c r="H56" s="1" t="n">
        <v>0</v>
      </c>
      <c r="I56" s="1" t="n">
        <v>0</v>
      </c>
      <c r="J56" s="1" t="n">
        <v>0</v>
      </c>
      <c r="K56" s="1" t="str">
        <f aca="false">IFERROR(F56/D56,"")</f>
        <v/>
      </c>
    </row>
    <row r="57" customFormat="false" ht="12.8" hidden="false" customHeight="false" outlineLevel="0" collapsed="false">
      <c r="A57" s="1" t="n">
        <v>56</v>
      </c>
      <c r="B57" s="1" t="n">
        <v>1226355</v>
      </c>
      <c r="C57" s="1" t="n">
        <v>4675</v>
      </c>
      <c r="D57" s="1" t="n">
        <v>0</v>
      </c>
      <c r="E57" s="1" t="n">
        <v>55</v>
      </c>
      <c r="F57" s="1" t="n">
        <v>5755.97</v>
      </c>
      <c r="G57" s="1" t="n">
        <v>0.38</v>
      </c>
      <c r="H57" s="1" t="n">
        <v>0</v>
      </c>
      <c r="I57" s="1" t="n">
        <v>0</v>
      </c>
      <c r="J57" s="1" t="n">
        <v>0</v>
      </c>
      <c r="K57" s="1" t="str">
        <f aca="false">IFERROR(F57/D57,"")</f>
        <v/>
      </c>
    </row>
    <row r="58" customFormat="false" ht="12.8" hidden="false" customHeight="false" outlineLevel="0" collapsed="false">
      <c r="A58" s="1" t="n">
        <v>57</v>
      </c>
      <c r="B58" s="1" t="n">
        <v>894063</v>
      </c>
      <c r="C58" s="1" t="n">
        <v>4136</v>
      </c>
      <c r="D58" s="1" t="n">
        <v>5848.57</v>
      </c>
      <c r="E58" s="1" t="n">
        <v>56</v>
      </c>
      <c r="F58" s="1" t="n">
        <v>4511.26</v>
      </c>
      <c r="G58" s="1" t="n">
        <v>0.46</v>
      </c>
      <c r="H58" s="1" t="n">
        <v>1.41</v>
      </c>
      <c r="I58" s="1" t="n">
        <v>6.54</v>
      </c>
      <c r="J58" s="1" t="n">
        <v>104.44</v>
      </c>
      <c r="K58" s="1" t="n">
        <f aca="false">IFERROR(F58/D58,"")</f>
        <v>0.771344106337105</v>
      </c>
    </row>
    <row r="59" customFormat="false" ht="12.8" hidden="false" customHeight="false" outlineLevel="0" collapsed="false">
      <c r="A59" s="1" t="n">
        <v>58</v>
      </c>
      <c r="B59" s="1" t="n">
        <v>5821620</v>
      </c>
      <c r="C59" s="1" t="n">
        <v>27074</v>
      </c>
      <c r="D59" s="1" t="n">
        <v>38829.94</v>
      </c>
      <c r="E59" s="1" t="n">
        <v>321</v>
      </c>
      <c r="F59" s="1" t="n">
        <v>22924.39</v>
      </c>
      <c r="G59" s="1" t="n">
        <v>0.47</v>
      </c>
      <c r="H59" s="1" t="n">
        <v>1.43</v>
      </c>
      <c r="I59" s="1" t="n">
        <v>6.67</v>
      </c>
      <c r="J59" s="1" t="n">
        <v>120.97</v>
      </c>
      <c r="K59" s="1" t="n">
        <f aca="false">IFERROR(F59/D59,"")</f>
        <v>0.590379227987476</v>
      </c>
    </row>
    <row r="60" customFormat="false" ht="12.8" hidden="false" customHeight="false" outlineLevel="0" collapsed="false">
      <c r="A60" s="1" t="n">
        <v>59</v>
      </c>
      <c r="B60" s="1" t="n">
        <v>46136</v>
      </c>
      <c r="C60" s="1" t="n">
        <v>240</v>
      </c>
      <c r="D60" s="1" t="n">
        <v>0</v>
      </c>
      <c r="E60" s="1" t="n">
        <v>3</v>
      </c>
      <c r="F60" s="1" t="n">
        <v>293.05</v>
      </c>
      <c r="G60" s="1" t="n">
        <v>0.52</v>
      </c>
      <c r="H60" s="1" t="n">
        <v>0</v>
      </c>
      <c r="I60" s="1" t="n">
        <v>0</v>
      </c>
      <c r="J60" s="1" t="n">
        <v>0</v>
      </c>
      <c r="K60" s="1" t="str">
        <f aca="false">IFERROR(F60/D60,"")</f>
        <v/>
      </c>
    </row>
    <row r="61" customFormat="false" ht="12.8" hidden="false" customHeight="false" outlineLevel="0" collapsed="false">
      <c r="A61" s="1" t="n">
        <v>60</v>
      </c>
      <c r="B61" s="1" t="n">
        <v>1325191</v>
      </c>
      <c r="C61" s="1" t="n">
        <v>7120</v>
      </c>
      <c r="D61" s="1" t="n">
        <v>10240.7</v>
      </c>
      <c r="E61" s="1" t="n">
        <v>67</v>
      </c>
      <c r="F61" s="1" t="n">
        <v>4942.71</v>
      </c>
      <c r="G61" s="1" t="n">
        <v>0.54</v>
      </c>
      <c r="H61" s="1" t="n">
        <v>1.44</v>
      </c>
      <c r="I61" s="1" t="n">
        <v>7.73</v>
      </c>
      <c r="J61" s="1" t="n">
        <v>152.85</v>
      </c>
      <c r="K61" s="1" t="n">
        <f aca="false">IFERROR(F61/D61,"")</f>
        <v>0.482653529543879</v>
      </c>
    </row>
    <row r="62" customFormat="false" ht="12.8" hidden="false" customHeight="false" outlineLevel="0" collapsed="false">
      <c r="A62" s="1" t="n">
        <v>61</v>
      </c>
      <c r="B62" s="1" t="n">
        <v>371671</v>
      </c>
      <c r="C62" s="1" t="n">
        <v>3465</v>
      </c>
      <c r="D62" s="1" t="n">
        <v>4978.68</v>
      </c>
      <c r="E62" s="1" t="n">
        <v>38</v>
      </c>
      <c r="F62" s="1" t="n">
        <v>3028.19</v>
      </c>
      <c r="G62" s="1" t="n">
        <v>0.93</v>
      </c>
      <c r="H62" s="1" t="n">
        <v>1.44</v>
      </c>
      <c r="I62" s="1" t="n">
        <v>13.4</v>
      </c>
      <c r="J62" s="1" t="n">
        <v>131.02</v>
      </c>
      <c r="K62" s="1" t="n">
        <f aca="false">IFERROR(F62/D62,"")</f>
        <v>0.608231499112214</v>
      </c>
    </row>
    <row r="63" customFormat="false" ht="12.8" hidden="false" customHeight="false" outlineLevel="0" collapsed="false">
      <c r="A63" s="1" t="n">
        <v>62</v>
      </c>
      <c r="B63" s="1" t="n">
        <v>94593154</v>
      </c>
      <c r="C63" s="1" t="n">
        <v>200047</v>
      </c>
      <c r="D63" s="1" t="n">
        <v>273672.36</v>
      </c>
      <c r="E63" s="1" t="n">
        <v>2509</v>
      </c>
      <c r="F63" s="1" t="n">
        <v>169873</v>
      </c>
      <c r="G63" s="1" t="n">
        <v>0.21</v>
      </c>
      <c r="H63" s="1" t="n">
        <v>1.37</v>
      </c>
      <c r="I63" s="1" t="n">
        <v>2.89</v>
      </c>
      <c r="J63" s="1" t="n">
        <v>109.08</v>
      </c>
      <c r="K63" s="1" t="n">
        <f aca="false">IFERROR(F63/D63,"")</f>
        <v>0.620716684724756</v>
      </c>
    </row>
    <row r="64" customFormat="false" ht="12.8" hidden="false" customHeight="false" outlineLevel="0" collapsed="false">
      <c r="A64" s="1" t="n">
        <v>63</v>
      </c>
      <c r="B64" s="1" t="n">
        <v>1879890</v>
      </c>
      <c r="C64" s="1" t="n">
        <v>5049</v>
      </c>
      <c r="D64" s="1" t="n">
        <v>7256.18</v>
      </c>
      <c r="E64" s="1" t="n">
        <v>73</v>
      </c>
      <c r="F64" s="1" t="n">
        <v>5917.35</v>
      </c>
      <c r="G64" s="1" t="n">
        <v>0.27</v>
      </c>
      <c r="H64" s="1" t="n">
        <v>1.44</v>
      </c>
      <c r="I64" s="1" t="n">
        <v>3.86</v>
      </c>
      <c r="J64" s="1" t="n">
        <v>99.4</v>
      </c>
      <c r="K64" s="1" t="n">
        <f aca="false">IFERROR(F64/D64,"")</f>
        <v>0.815491071059428</v>
      </c>
    </row>
    <row r="65" customFormat="false" ht="12.8" hidden="false" customHeight="false" outlineLevel="0" collapsed="false">
      <c r="A65" s="1" t="n">
        <v>64</v>
      </c>
      <c r="B65" s="1" t="n">
        <v>820025</v>
      </c>
      <c r="C65" s="1" t="n">
        <v>4980</v>
      </c>
      <c r="D65" s="1" t="n">
        <v>7093.35</v>
      </c>
      <c r="E65" s="1" t="n">
        <v>43</v>
      </c>
      <c r="F65" s="1" t="n">
        <v>3721.55</v>
      </c>
      <c r="G65" s="1" t="n">
        <v>0.61</v>
      </c>
      <c r="H65" s="1" t="n">
        <v>1.42</v>
      </c>
      <c r="I65" s="1" t="n">
        <v>8.65</v>
      </c>
      <c r="J65" s="1" t="n">
        <v>164.96</v>
      </c>
      <c r="K65" s="1" t="n">
        <f aca="false">IFERROR(F65/D65,"")</f>
        <v>0.524653372524971</v>
      </c>
    </row>
    <row r="66" customFormat="false" ht="12.8" hidden="false" customHeight="false" outlineLevel="0" collapsed="false">
      <c r="A66" s="1" t="n">
        <v>65</v>
      </c>
      <c r="B66" s="1" t="n">
        <v>1110005</v>
      </c>
      <c r="C66" s="1" t="n">
        <v>6042</v>
      </c>
      <c r="D66" s="1" t="n">
        <v>0</v>
      </c>
      <c r="E66" s="1" t="n">
        <v>64</v>
      </c>
      <c r="F66" s="1" t="n">
        <v>4752.47</v>
      </c>
      <c r="G66" s="1" t="n">
        <v>0.54</v>
      </c>
      <c r="H66" s="1" t="n">
        <v>0</v>
      </c>
      <c r="I66" s="1" t="n">
        <v>0</v>
      </c>
      <c r="J66" s="1" t="n">
        <v>0</v>
      </c>
      <c r="K66" s="1" t="str">
        <f aca="false">IFERROR(F66/D66,"")</f>
        <v/>
      </c>
    </row>
    <row r="67" customFormat="false" ht="12.8" hidden="false" customHeight="false" outlineLevel="0" collapsed="false">
      <c r="A67" s="1" t="n">
        <v>66</v>
      </c>
      <c r="B67" s="1" t="n">
        <v>346231</v>
      </c>
      <c r="C67" s="1" t="n">
        <v>2830</v>
      </c>
      <c r="D67" s="1" t="n">
        <v>3941.03</v>
      </c>
      <c r="E67" s="1" t="n">
        <v>28</v>
      </c>
      <c r="F67" s="1" t="n">
        <v>1812.27</v>
      </c>
      <c r="G67" s="1" t="n">
        <v>0.82</v>
      </c>
      <c r="H67" s="1" t="n">
        <v>1.39</v>
      </c>
      <c r="I67" s="1" t="n">
        <v>11.38</v>
      </c>
      <c r="J67" s="1" t="n">
        <v>140.75</v>
      </c>
      <c r="K67" s="1" t="n">
        <f aca="false">IFERROR(F67/D67,"")</f>
        <v>0.459846791321051</v>
      </c>
    </row>
    <row r="68" customFormat="false" ht="12.8" hidden="false" customHeight="false" outlineLevel="0" collapsed="false">
      <c r="A68" s="1" t="n">
        <v>67</v>
      </c>
      <c r="B68" s="1" t="n">
        <v>5687796</v>
      </c>
      <c r="C68" s="1" t="n">
        <v>18184</v>
      </c>
      <c r="D68" s="1" t="n">
        <v>27441.32</v>
      </c>
      <c r="E68" s="1" t="n">
        <v>189</v>
      </c>
      <c r="F68" s="1" t="n">
        <v>14189.54</v>
      </c>
      <c r="G68" s="1" t="n">
        <v>0.32</v>
      </c>
      <c r="H68" s="1" t="n">
        <v>1.51</v>
      </c>
      <c r="I68" s="1" t="n">
        <v>4.82</v>
      </c>
      <c r="J68" s="1" t="n">
        <v>145.19</v>
      </c>
      <c r="K68" s="1" t="n">
        <f aca="false">IFERROR(F68/D68,"")</f>
        <v>0.517086641604704</v>
      </c>
    </row>
    <row r="69" customFormat="false" ht="12.8" hidden="false" customHeight="false" outlineLevel="0" collapsed="false">
      <c r="A69" s="1" t="n">
        <v>68</v>
      </c>
      <c r="B69" s="1" t="n">
        <v>2858196</v>
      </c>
      <c r="C69" s="1" t="n">
        <v>7907</v>
      </c>
      <c r="D69" s="1" t="n">
        <v>11654.1</v>
      </c>
      <c r="E69" s="1" t="n">
        <v>102</v>
      </c>
      <c r="F69" s="1" t="n">
        <v>6905.34</v>
      </c>
      <c r="G69" s="1" t="n">
        <v>0.28</v>
      </c>
      <c r="H69" s="1" t="n">
        <v>1.47</v>
      </c>
      <c r="I69" s="1" t="n">
        <v>4.08</v>
      </c>
      <c r="J69" s="1" t="n">
        <v>114.26</v>
      </c>
      <c r="K69" s="1" t="n">
        <f aca="false">IFERROR(F69/D69,"")</f>
        <v>0.592524519267897</v>
      </c>
    </row>
    <row r="70" customFormat="false" ht="12.8" hidden="false" customHeight="false" outlineLevel="0" collapsed="false">
      <c r="A70" s="1" t="n">
        <v>69</v>
      </c>
      <c r="B70" s="1" t="n">
        <v>709223</v>
      </c>
      <c r="C70" s="1" t="n">
        <v>4830</v>
      </c>
      <c r="D70" s="1" t="n">
        <v>0</v>
      </c>
      <c r="E70" s="1" t="n">
        <v>41</v>
      </c>
      <c r="F70" s="1" t="n">
        <v>2822.32</v>
      </c>
      <c r="G70" s="1" t="n">
        <v>0.68</v>
      </c>
      <c r="H70" s="1" t="n">
        <v>0</v>
      </c>
      <c r="I70" s="1" t="n">
        <v>0</v>
      </c>
      <c r="J70" s="1" t="n">
        <v>0</v>
      </c>
      <c r="K70" s="1" t="str">
        <f aca="false">IFERROR(F70/D70,"")</f>
        <v/>
      </c>
    </row>
    <row r="71" customFormat="false" ht="12.8" hidden="false" customHeight="false" outlineLevel="0" collapsed="false">
      <c r="A71" s="1" t="n">
        <v>70</v>
      </c>
      <c r="B71" s="1" t="n">
        <v>1438589</v>
      </c>
      <c r="C71" s="1" t="n">
        <v>7097</v>
      </c>
      <c r="D71" s="1" t="n">
        <v>0</v>
      </c>
      <c r="E71" s="1" t="n">
        <v>98</v>
      </c>
      <c r="F71" s="1" t="n">
        <v>7809.04</v>
      </c>
      <c r="G71" s="1" t="n">
        <v>0.49</v>
      </c>
      <c r="H71" s="1" t="n">
        <v>0</v>
      </c>
      <c r="I71" s="1" t="n">
        <v>0</v>
      </c>
      <c r="J71" s="1" t="n">
        <v>0</v>
      </c>
      <c r="K71" s="1" t="str">
        <f aca="false">IFERROR(F71/D71,"")</f>
        <v/>
      </c>
    </row>
    <row r="72" customFormat="false" ht="12.8" hidden="false" customHeight="false" outlineLevel="0" collapsed="false">
      <c r="A72" s="1" t="n">
        <v>71</v>
      </c>
      <c r="B72" s="1" t="n">
        <v>351446</v>
      </c>
      <c r="C72" s="1" t="n">
        <v>2144</v>
      </c>
      <c r="D72" s="1" t="n">
        <v>3192.98</v>
      </c>
      <c r="E72" s="1" t="n">
        <v>18</v>
      </c>
      <c r="F72" s="1" t="n">
        <v>1309.01</v>
      </c>
      <c r="G72" s="1" t="n">
        <v>0.61</v>
      </c>
      <c r="H72" s="1" t="n">
        <v>1.49</v>
      </c>
      <c r="I72" s="1" t="n">
        <v>9.09</v>
      </c>
      <c r="J72" s="1" t="n">
        <v>177.39</v>
      </c>
      <c r="K72" s="1" t="n">
        <f aca="false">IFERROR(F72/D72,"")</f>
        <v>0.409964985687352</v>
      </c>
    </row>
    <row r="73" customFormat="false" ht="12.8" hidden="false" customHeight="false" outlineLevel="0" collapsed="false">
      <c r="A73" s="1" t="n">
        <v>72</v>
      </c>
      <c r="B73" s="1" t="n">
        <v>152553</v>
      </c>
      <c r="C73" s="1" t="n">
        <v>619</v>
      </c>
      <c r="D73" s="1" t="n">
        <v>912</v>
      </c>
      <c r="E73" s="1" t="n">
        <v>3</v>
      </c>
      <c r="F73" s="1" t="n">
        <v>684.89</v>
      </c>
      <c r="G73" s="1" t="n">
        <v>0.41</v>
      </c>
      <c r="H73" s="1" t="n">
        <v>1.47</v>
      </c>
      <c r="I73" s="1" t="n">
        <v>5.98</v>
      </c>
      <c r="J73" s="1" t="n">
        <v>304</v>
      </c>
      <c r="K73" s="1" t="n">
        <f aca="false">IFERROR(F73/D73,"")</f>
        <v>0.750975877192982</v>
      </c>
    </row>
    <row r="74" customFormat="false" ht="12.8" hidden="false" customHeight="false" outlineLevel="0" collapsed="false">
      <c r="A74" s="1" t="n">
        <v>73</v>
      </c>
      <c r="B74" s="1" t="n">
        <v>908982</v>
      </c>
      <c r="C74" s="1" t="n">
        <v>7558</v>
      </c>
      <c r="D74" s="1" t="n">
        <v>0</v>
      </c>
      <c r="E74" s="1" t="n">
        <v>79</v>
      </c>
      <c r="F74" s="1" t="n">
        <v>5905.89</v>
      </c>
      <c r="G74" s="1" t="n">
        <v>0.83</v>
      </c>
      <c r="H74" s="1" t="n">
        <v>0</v>
      </c>
      <c r="I74" s="1" t="n">
        <v>0</v>
      </c>
      <c r="J74" s="1" t="n">
        <v>0</v>
      </c>
      <c r="K74" s="1" t="str">
        <f aca="false">IFERROR(F74/D74,"")</f>
        <v/>
      </c>
    </row>
    <row r="75" customFormat="false" ht="12.8" hidden="false" customHeight="false" outlineLevel="0" collapsed="false">
      <c r="A75" s="1" t="n">
        <v>74</v>
      </c>
      <c r="B75" s="1" t="n">
        <v>1068657</v>
      </c>
      <c r="C75" s="1" t="n">
        <v>5998</v>
      </c>
      <c r="D75" s="1" t="n">
        <v>8318.74</v>
      </c>
      <c r="E75" s="1" t="n">
        <v>67</v>
      </c>
      <c r="F75" s="1" t="n">
        <v>4921.34</v>
      </c>
      <c r="G75" s="1" t="n">
        <v>0.56</v>
      </c>
      <c r="H75" s="1" t="n">
        <v>1.39</v>
      </c>
      <c r="I75" s="1" t="n">
        <v>7.78</v>
      </c>
      <c r="J75" s="1" t="n">
        <v>124.16</v>
      </c>
      <c r="K75" s="1" t="n">
        <f aca="false">IFERROR(F75/D75,"")</f>
        <v>0.591596804323732</v>
      </c>
    </row>
    <row r="76" customFormat="false" ht="12.8" hidden="false" customHeight="false" outlineLevel="0" collapsed="false">
      <c r="A76" s="1" t="n">
        <v>75</v>
      </c>
      <c r="B76" s="1" t="n">
        <v>706268</v>
      </c>
      <c r="C76" s="1" t="n">
        <v>4569</v>
      </c>
      <c r="D76" s="1" t="n">
        <v>6754.99</v>
      </c>
      <c r="E76" s="1" t="n">
        <v>43</v>
      </c>
      <c r="F76" s="1" t="n">
        <v>3207.95</v>
      </c>
      <c r="G76" s="1" t="n">
        <v>0.65</v>
      </c>
      <c r="H76" s="1" t="n">
        <v>1.48</v>
      </c>
      <c r="I76" s="1" t="n">
        <v>9.56</v>
      </c>
      <c r="J76" s="1" t="n">
        <v>157.09</v>
      </c>
      <c r="K76" s="1" t="n">
        <f aca="false">IFERROR(F76/D76,"")</f>
        <v>0.474900777055184</v>
      </c>
    </row>
    <row r="77" customFormat="false" ht="12.8" hidden="false" customHeight="false" outlineLevel="0" collapsed="false">
      <c r="A77" s="1" t="n">
        <v>76</v>
      </c>
      <c r="B77" s="1" t="n">
        <v>492819</v>
      </c>
      <c r="C77" s="1" t="n">
        <v>3047</v>
      </c>
      <c r="D77" s="1" t="n">
        <v>4539.81</v>
      </c>
      <c r="E77" s="1" t="n">
        <v>37</v>
      </c>
      <c r="F77" s="1" t="n">
        <v>2145.7</v>
      </c>
      <c r="G77" s="1" t="n">
        <v>0.62</v>
      </c>
      <c r="H77" s="1" t="n">
        <v>1.49</v>
      </c>
      <c r="I77" s="1" t="n">
        <v>9.21</v>
      </c>
      <c r="J77" s="1" t="n">
        <v>122.7</v>
      </c>
      <c r="K77" s="1" t="n">
        <f aca="false">IFERROR(F77/D77,"")</f>
        <v>0.472640925501287</v>
      </c>
    </row>
    <row r="78" customFormat="false" ht="12.8" hidden="false" customHeight="false" outlineLevel="0" collapsed="false">
      <c r="A78" s="1" t="n">
        <v>77</v>
      </c>
      <c r="B78" s="1" t="n">
        <v>459933</v>
      </c>
      <c r="C78" s="1" t="n">
        <v>3513</v>
      </c>
      <c r="D78" s="1" t="n">
        <v>0</v>
      </c>
      <c r="E78" s="1" t="n">
        <v>27</v>
      </c>
      <c r="F78" s="1" t="n">
        <v>2139.14</v>
      </c>
      <c r="G78" s="1" t="n">
        <v>0.76</v>
      </c>
      <c r="H78" s="1" t="n">
        <v>0</v>
      </c>
      <c r="I78" s="1" t="n">
        <v>0</v>
      </c>
      <c r="J78" s="1" t="n">
        <v>0</v>
      </c>
      <c r="K78" s="1" t="str">
        <f aca="false">IFERROR(F78/D78,"")</f>
        <v/>
      </c>
    </row>
    <row r="79" customFormat="false" ht="12.8" hidden="false" customHeight="false" outlineLevel="0" collapsed="false">
      <c r="A79" s="1" t="n">
        <v>78</v>
      </c>
      <c r="B79" s="1" t="n">
        <v>297562</v>
      </c>
      <c r="C79" s="1" t="n">
        <v>2925</v>
      </c>
      <c r="D79" s="1" t="n">
        <v>0</v>
      </c>
      <c r="E79" s="1" t="n">
        <v>21</v>
      </c>
      <c r="F79" s="1" t="n">
        <v>1524.82</v>
      </c>
      <c r="G79" s="1" t="n">
        <v>0.98</v>
      </c>
      <c r="H79" s="1" t="n">
        <v>0</v>
      </c>
      <c r="I79" s="1" t="n">
        <v>0</v>
      </c>
      <c r="J79" s="1" t="n">
        <v>0</v>
      </c>
      <c r="K79" s="1" t="str">
        <f aca="false">IFERROR(F79/D79,"")</f>
        <v/>
      </c>
    </row>
    <row r="80" customFormat="false" ht="12.8" hidden="false" customHeight="false" outlineLevel="0" collapsed="false">
      <c r="A80" s="1" t="n">
        <v>79</v>
      </c>
      <c r="B80" s="1" t="n">
        <v>7342443</v>
      </c>
      <c r="C80" s="1" t="n">
        <v>18918</v>
      </c>
      <c r="D80" s="1" t="n">
        <v>27062.64</v>
      </c>
      <c r="E80" s="1" t="n">
        <v>244</v>
      </c>
      <c r="F80" s="1" t="n">
        <v>20612.23</v>
      </c>
      <c r="G80" s="1" t="n">
        <v>0.26</v>
      </c>
      <c r="H80" s="1" t="n">
        <v>1.43</v>
      </c>
      <c r="I80" s="1" t="n">
        <v>3.69</v>
      </c>
      <c r="J80" s="1" t="n">
        <v>110.91</v>
      </c>
      <c r="K80" s="1" t="n">
        <f aca="false">IFERROR(F80/D80,"")</f>
        <v>0.76164890047682</v>
      </c>
    </row>
    <row r="81" customFormat="false" ht="12.8" hidden="false" customHeight="false" outlineLevel="0" collapsed="false">
      <c r="A81" s="1" t="n">
        <v>80</v>
      </c>
      <c r="B81" s="1" t="n">
        <v>3362296</v>
      </c>
      <c r="C81" s="1" t="n">
        <v>16664</v>
      </c>
      <c r="D81" s="1" t="n">
        <v>22882.86</v>
      </c>
      <c r="E81" s="1" t="n">
        <v>199</v>
      </c>
      <c r="F81" s="1" t="n">
        <v>14242.66</v>
      </c>
      <c r="G81" s="1" t="n">
        <v>0.5</v>
      </c>
      <c r="H81" s="1" t="n">
        <v>1.37</v>
      </c>
      <c r="I81" s="1" t="n">
        <v>6.81</v>
      </c>
      <c r="J81" s="1" t="n">
        <v>114.99</v>
      </c>
      <c r="K81" s="1" t="n">
        <f aca="false">IFERROR(F81/D81,"")</f>
        <v>0.622416079108992</v>
      </c>
    </row>
    <row r="82" customFormat="false" ht="12.8" hidden="false" customHeight="false" outlineLevel="0" collapsed="false">
      <c r="A82" s="1" t="n">
        <v>81</v>
      </c>
      <c r="B82" s="1" t="n">
        <v>313014</v>
      </c>
      <c r="C82" s="1" t="n">
        <v>2503</v>
      </c>
      <c r="D82" s="1" t="n">
        <v>0</v>
      </c>
      <c r="E82" s="1" t="n">
        <v>21</v>
      </c>
      <c r="F82" s="1" t="n">
        <v>1776.75</v>
      </c>
      <c r="G82" s="1" t="n">
        <v>0.8</v>
      </c>
      <c r="H82" s="1" t="n">
        <v>0</v>
      </c>
      <c r="I82" s="1" t="n">
        <v>0</v>
      </c>
      <c r="J82" s="1" t="n">
        <v>0</v>
      </c>
      <c r="K82" s="1" t="str">
        <f aca="false">IFERROR(F82/D82,"")</f>
        <v/>
      </c>
    </row>
    <row r="83" customFormat="false" ht="12.8" hidden="false" customHeight="false" outlineLevel="0" collapsed="false">
      <c r="A83" s="1" t="n">
        <v>82</v>
      </c>
      <c r="B83" s="1" t="n">
        <v>300255</v>
      </c>
      <c r="C83" s="1" t="n">
        <v>3102</v>
      </c>
      <c r="D83" s="1" t="n">
        <v>0</v>
      </c>
      <c r="E83" s="1" t="n">
        <v>22</v>
      </c>
      <c r="F83" s="1" t="n">
        <v>1462.04</v>
      </c>
      <c r="G83" s="1" t="n">
        <v>1.03</v>
      </c>
      <c r="H83" s="1" t="n">
        <v>0</v>
      </c>
      <c r="I83" s="1" t="n">
        <v>0</v>
      </c>
      <c r="J83" s="1" t="n">
        <v>0</v>
      </c>
      <c r="K83" s="1" t="str">
        <f aca="false">IFERROR(F83/D83,"")</f>
        <v/>
      </c>
    </row>
    <row r="84" customFormat="false" ht="12.8" hidden="false" customHeight="false" outlineLevel="0" collapsed="false">
      <c r="A84" s="1" t="n">
        <v>83</v>
      </c>
      <c r="B84" s="1" t="n">
        <v>350391</v>
      </c>
      <c r="C84" s="1" t="n">
        <v>2522</v>
      </c>
      <c r="D84" s="1" t="n">
        <v>3370.64</v>
      </c>
      <c r="E84" s="1" t="n">
        <v>21</v>
      </c>
      <c r="F84" s="1" t="n">
        <v>1569.41</v>
      </c>
      <c r="G84" s="1" t="n">
        <v>0.72</v>
      </c>
      <c r="H84" s="1" t="n">
        <v>1.34</v>
      </c>
      <c r="I84" s="1" t="n">
        <v>9.62</v>
      </c>
      <c r="J84" s="1" t="n">
        <v>160.51</v>
      </c>
      <c r="K84" s="1" t="n">
        <f aca="false">IFERROR(F84/D84,"")</f>
        <v>0.465611871929367</v>
      </c>
    </row>
    <row r="85" customFormat="false" ht="12.8" hidden="false" customHeight="false" outlineLevel="0" collapsed="false">
      <c r="A85" s="1" t="n">
        <v>84</v>
      </c>
      <c r="B85" s="1" t="n">
        <v>329370</v>
      </c>
      <c r="C85" s="1" t="n">
        <v>2367</v>
      </c>
      <c r="D85" s="1" t="n">
        <v>3625.18</v>
      </c>
      <c r="E85" s="1" t="n">
        <v>28</v>
      </c>
      <c r="F85" s="1" t="n">
        <v>1935.36</v>
      </c>
      <c r="G85" s="1" t="n">
        <v>0.72</v>
      </c>
      <c r="H85" s="1" t="n">
        <v>1.53</v>
      </c>
      <c r="I85" s="1" t="n">
        <v>11.01</v>
      </c>
      <c r="J85" s="1" t="n">
        <v>129.47</v>
      </c>
      <c r="K85" s="1" t="n">
        <f aca="false">IFERROR(F85/D85,"")</f>
        <v>0.533865904589565</v>
      </c>
    </row>
    <row r="86" customFormat="false" ht="12.8" hidden="false" customHeight="false" outlineLevel="0" collapsed="false">
      <c r="A86" s="1" t="n">
        <v>85</v>
      </c>
      <c r="B86" s="1" t="n">
        <v>167082</v>
      </c>
      <c r="C86" s="1" t="n">
        <v>1183</v>
      </c>
      <c r="D86" s="1" t="n">
        <v>0</v>
      </c>
      <c r="E86" s="1" t="n">
        <v>14</v>
      </c>
      <c r="F86" s="1" t="n">
        <v>1092.03</v>
      </c>
      <c r="G86" s="1" t="n">
        <v>0.71</v>
      </c>
      <c r="H86" s="1" t="n">
        <v>0</v>
      </c>
      <c r="I86" s="1" t="n">
        <v>0</v>
      </c>
      <c r="J86" s="1" t="n">
        <v>0</v>
      </c>
      <c r="K86" s="1" t="str">
        <f aca="false">IFERROR(F86/D86,"")</f>
        <v/>
      </c>
    </row>
    <row r="87" customFormat="false" ht="12.8" hidden="false" customHeight="false" outlineLevel="0" collapsed="false">
      <c r="A87" s="1" t="n">
        <v>86</v>
      </c>
      <c r="B87" s="1" t="n">
        <v>269593</v>
      </c>
      <c r="C87" s="1" t="n">
        <v>2559</v>
      </c>
      <c r="D87" s="1" t="n">
        <v>3456.27</v>
      </c>
      <c r="E87" s="1" t="n">
        <v>25</v>
      </c>
      <c r="F87" s="1" t="n">
        <v>1904.46</v>
      </c>
      <c r="G87" s="1" t="n">
        <v>0.95</v>
      </c>
      <c r="H87" s="1" t="n">
        <v>1.35</v>
      </c>
      <c r="I87" s="1" t="n">
        <v>12.82</v>
      </c>
      <c r="J87" s="1" t="n">
        <v>138.25</v>
      </c>
      <c r="K87" s="1" t="n">
        <f aca="false">IFERROR(F87/D87,"")</f>
        <v>0.551015979654367</v>
      </c>
    </row>
    <row r="88" customFormat="false" ht="12.8" hidden="false" customHeight="false" outlineLevel="0" collapsed="false">
      <c r="A88" s="1" t="n">
        <v>87</v>
      </c>
      <c r="B88" s="1" t="n">
        <v>92710</v>
      </c>
      <c r="C88" s="1" t="n">
        <v>1267</v>
      </c>
      <c r="D88" s="1" t="n">
        <v>2000.18</v>
      </c>
      <c r="E88" s="1" t="n">
        <v>17</v>
      </c>
      <c r="F88" s="1" t="n">
        <v>1140.83</v>
      </c>
      <c r="G88" s="1" t="n">
        <v>1.37</v>
      </c>
      <c r="H88" s="1" t="n">
        <v>1.58</v>
      </c>
      <c r="I88" s="1" t="n">
        <v>21.57</v>
      </c>
      <c r="J88" s="1" t="n">
        <v>117.66</v>
      </c>
      <c r="K88" s="1" t="n">
        <f aca="false">IFERROR(F88/D88,"")</f>
        <v>0.570363667269946</v>
      </c>
    </row>
    <row r="89" customFormat="false" ht="12.8" hidden="false" customHeight="false" outlineLevel="0" collapsed="false">
      <c r="A89" s="1" t="n">
        <v>88</v>
      </c>
      <c r="B89" s="1" t="n">
        <v>371968</v>
      </c>
      <c r="C89" s="1" t="n">
        <v>3365</v>
      </c>
      <c r="D89" s="1" t="n">
        <v>0</v>
      </c>
      <c r="E89" s="1" t="n">
        <v>12</v>
      </c>
      <c r="F89" s="1" t="n">
        <v>576.16</v>
      </c>
      <c r="G89" s="1" t="n">
        <v>0.9</v>
      </c>
      <c r="H89" s="1" t="n">
        <v>0</v>
      </c>
      <c r="I89" s="1" t="n">
        <v>0</v>
      </c>
      <c r="J89" s="1" t="n">
        <v>0</v>
      </c>
      <c r="K89" s="1" t="str">
        <f aca="false">IFERROR(F89/D89,"")</f>
        <v/>
      </c>
    </row>
    <row r="90" customFormat="false" ht="12.8" hidden="false" customHeight="false" outlineLevel="0" collapsed="false">
      <c r="A90" s="1" t="n">
        <v>89</v>
      </c>
      <c r="B90" s="1" t="n">
        <v>725646</v>
      </c>
      <c r="C90" s="1" t="n">
        <v>4973</v>
      </c>
      <c r="D90" s="1" t="n">
        <v>7291.51</v>
      </c>
      <c r="E90" s="1" t="n">
        <v>65</v>
      </c>
      <c r="F90" s="1" t="n">
        <v>4920.28</v>
      </c>
      <c r="G90" s="1" t="n">
        <v>0.69</v>
      </c>
      <c r="H90" s="1" t="n">
        <v>1.47</v>
      </c>
      <c r="I90" s="1" t="n">
        <v>10.05</v>
      </c>
      <c r="J90" s="1" t="n">
        <v>112.18</v>
      </c>
      <c r="K90" s="1" t="n">
        <f aca="false">IFERROR(F90/D90,"")</f>
        <v>0.674795755611663</v>
      </c>
    </row>
    <row r="91" customFormat="false" ht="12.8" hidden="false" customHeight="false" outlineLevel="0" collapsed="false">
      <c r="A91" s="1" t="n">
        <v>90</v>
      </c>
      <c r="B91" s="1" t="n">
        <v>441419</v>
      </c>
      <c r="C91" s="1" t="n">
        <v>3000</v>
      </c>
      <c r="D91" s="1" t="n">
        <v>4233.8</v>
      </c>
      <c r="E91" s="1" t="n">
        <v>29</v>
      </c>
      <c r="F91" s="1" t="n">
        <v>1753.37</v>
      </c>
      <c r="G91" s="1" t="n">
        <v>0.68</v>
      </c>
      <c r="H91" s="1" t="n">
        <v>1.41</v>
      </c>
      <c r="I91" s="1" t="n">
        <v>9.59</v>
      </c>
      <c r="J91" s="1" t="n">
        <v>145.99</v>
      </c>
      <c r="K91" s="1" t="n">
        <f aca="false">IFERROR(F91/D91,"")</f>
        <v>0.414136236950257</v>
      </c>
    </row>
    <row r="92" customFormat="false" ht="12.8" hidden="false" customHeight="false" outlineLevel="0" collapsed="false">
      <c r="A92" s="1" t="n">
        <v>91</v>
      </c>
      <c r="B92" s="1" t="n">
        <v>105961</v>
      </c>
      <c r="C92" s="1" t="n">
        <v>954</v>
      </c>
      <c r="D92" s="1" t="n">
        <v>0</v>
      </c>
      <c r="E92" s="1" t="n">
        <v>5</v>
      </c>
      <c r="F92" s="1" t="n">
        <v>454.38</v>
      </c>
      <c r="G92" s="1" t="n">
        <v>0.9</v>
      </c>
      <c r="H92" s="1" t="n">
        <v>0</v>
      </c>
      <c r="I92" s="1" t="n">
        <v>0</v>
      </c>
      <c r="J92" s="1" t="n">
        <v>0</v>
      </c>
      <c r="K92" s="1" t="str">
        <f aca="false">IFERROR(F92/D92,"")</f>
        <v/>
      </c>
    </row>
    <row r="93" customFormat="false" ht="12.8" hidden="false" customHeight="false" outlineLevel="0" collapsed="false">
      <c r="A93" s="1" t="n">
        <v>92</v>
      </c>
      <c r="B93" s="1" t="n">
        <v>2126358</v>
      </c>
      <c r="C93" s="1" t="n">
        <v>12539</v>
      </c>
      <c r="D93" s="1" t="n">
        <v>0</v>
      </c>
      <c r="E93" s="1" t="n">
        <v>107</v>
      </c>
      <c r="F93" s="1" t="n">
        <v>7660.15</v>
      </c>
      <c r="G93" s="1" t="n">
        <v>0.59</v>
      </c>
      <c r="H93" s="1" t="n">
        <v>0</v>
      </c>
      <c r="I93" s="1" t="n">
        <v>0</v>
      </c>
      <c r="J93" s="1" t="n">
        <v>0</v>
      </c>
      <c r="K93" s="1" t="str">
        <f aca="false">IFERROR(F93/D93,"")</f>
        <v/>
      </c>
    </row>
    <row r="94" customFormat="false" ht="12.8" hidden="false" customHeight="false" outlineLevel="0" collapsed="false">
      <c r="A94" s="1" t="n">
        <v>93</v>
      </c>
      <c r="B94" s="1" t="n">
        <v>223136</v>
      </c>
      <c r="C94" s="1" t="n">
        <v>1774</v>
      </c>
      <c r="D94" s="1" t="n">
        <v>0</v>
      </c>
      <c r="E94" s="1" t="n">
        <v>12</v>
      </c>
      <c r="F94" s="1" t="n">
        <v>952.2</v>
      </c>
      <c r="G94" s="1" t="n">
        <v>0.8</v>
      </c>
      <c r="H94" s="1" t="n">
        <v>0</v>
      </c>
      <c r="I94" s="1" t="n">
        <v>0</v>
      </c>
      <c r="J94" s="1" t="n">
        <v>0</v>
      </c>
      <c r="K94" s="1" t="str">
        <f aca="false">IFERROR(F94/D94,"")</f>
        <v/>
      </c>
    </row>
    <row r="95" customFormat="false" ht="12.8" hidden="false" customHeight="false" outlineLevel="0" collapsed="false">
      <c r="A95" s="1" t="n">
        <v>94</v>
      </c>
      <c r="B95" s="1" t="n">
        <v>878020</v>
      </c>
      <c r="C95" s="1" t="n">
        <v>4575</v>
      </c>
      <c r="D95" s="1" t="n">
        <v>6921.27</v>
      </c>
      <c r="E95" s="1" t="n">
        <v>58</v>
      </c>
      <c r="F95" s="1" t="n">
        <v>4316.37</v>
      </c>
      <c r="G95" s="1" t="n">
        <v>0.52</v>
      </c>
      <c r="H95" s="1" t="n">
        <v>1.51</v>
      </c>
      <c r="I95" s="1" t="n">
        <v>7.88</v>
      </c>
      <c r="J95" s="1" t="n">
        <v>119.33</v>
      </c>
      <c r="K95" s="1" t="n">
        <f aca="false">IFERROR(F95/D95,"")</f>
        <v>0.623638436298541</v>
      </c>
    </row>
    <row r="96" customFormat="false" ht="12.8" hidden="false" customHeight="false" outlineLevel="0" collapsed="false">
      <c r="A96" s="1" t="n">
        <v>95</v>
      </c>
      <c r="B96" s="1" t="n">
        <v>884199</v>
      </c>
      <c r="C96" s="1" t="n">
        <v>5099</v>
      </c>
      <c r="D96" s="1" t="n">
        <v>7430.85</v>
      </c>
      <c r="E96" s="1" t="n">
        <v>48</v>
      </c>
      <c r="F96" s="1" t="n">
        <v>3233.4</v>
      </c>
      <c r="G96" s="1" t="n">
        <v>0.58</v>
      </c>
      <c r="H96" s="1" t="n">
        <v>1.46</v>
      </c>
      <c r="I96" s="1" t="n">
        <v>8.4</v>
      </c>
      <c r="J96" s="1" t="n">
        <v>154.81</v>
      </c>
      <c r="K96" s="1" t="n">
        <f aca="false">IFERROR(F96/D96,"")</f>
        <v>0.435131916267991</v>
      </c>
    </row>
    <row r="97" customFormat="false" ht="12.8" hidden="false" customHeight="false" outlineLevel="0" collapsed="false">
      <c r="A97" s="1" t="n">
        <v>96</v>
      </c>
      <c r="B97" s="1" t="n">
        <v>377207</v>
      </c>
      <c r="C97" s="1" t="n">
        <v>2357</v>
      </c>
      <c r="D97" s="1" t="n">
        <v>3398.86</v>
      </c>
      <c r="E97" s="1" t="n">
        <v>28</v>
      </c>
      <c r="F97" s="1" t="n">
        <v>1628.4</v>
      </c>
      <c r="G97" s="1" t="n">
        <v>0.62</v>
      </c>
      <c r="H97" s="1" t="n">
        <v>1.44</v>
      </c>
      <c r="I97" s="1" t="n">
        <v>9.01</v>
      </c>
      <c r="J97" s="1" t="n">
        <v>121.39</v>
      </c>
      <c r="K97" s="1" t="n">
        <f aca="false">IFERROR(F97/D97,"")</f>
        <v>0.479101816491412</v>
      </c>
    </row>
    <row r="98" customFormat="false" ht="12.8" hidden="false" customHeight="false" outlineLevel="0" collapsed="false">
      <c r="A98" s="1" t="n">
        <v>97</v>
      </c>
      <c r="B98" s="1" t="n">
        <v>731430</v>
      </c>
      <c r="C98" s="1" t="n">
        <v>3731</v>
      </c>
      <c r="D98" s="1" t="n">
        <v>0</v>
      </c>
      <c r="E98" s="1" t="n">
        <v>44</v>
      </c>
      <c r="F98" s="1" t="n">
        <v>3285.87</v>
      </c>
      <c r="G98" s="1" t="n">
        <v>0.51</v>
      </c>
      <c r="H98" s="1" t="n">
        <v>0</v>
      </c>
      <c r="I98" s="1" t="n">
        <v>0</v>
      </c>
      <c r="J98" s="1" t="n">
        <v>0</v>
      </c>
      <c r="K98" s="1" t="str">
        <f aca="false">IFERROR(F98/D98,"")</f>
        <v/>
      </c>
    </row>
    <row r="99" customFormat="false" ht="12.8" hidden="false" customHeight="false" outlineLevel="0" collapsed="false">
      <c r="A99" s="1" t="n">
        <v>98</v>
      </c>
      <c r="B99" s="1" t="n">
        <v>156585</v>
      </c>
      <c r="C99" s="1" t="n">
        <v>1278</v>
      </c>
      <c r="D99" s="1" t="n">
        <v>1871.54</v>
      </c>
      <c r="E99" s="1" t="n">
        <v>15</v>
      </c>
      <c r="F99" s="1" t="n">
        <v>1184.14</v>
      </c>
      <c r="G99" s="1" t="n">
        <v>0.82</v>
      </c>
      <c r="H99" s="1" t="n">
        <v>1.46</v>
      </c>
      <c r="I99" s="1" t="n">
        <v>11.95</v>
      </c>
      <c r="J99" s="1" t="n">
        <v>124.77</v>
      </c>
      <c r="K99" s="1" t="n">
        <f aca="false">IFERROR(F99/D99,"")</f>
        <v>0.6327088921423</v>
      </c>
    </row>
    <row r="100" customFormat="false" ht="12.8" hidden="false" customHeight="false" outlineLevel="0" collapsed="false">
      <c r="A100" s="1" t="n">
        <v>99</v>
      </c>
      <c r="B100" s="1" t="n">
        <v>1420914</v>
      </c>
      <c r="C100" s="1" t="n">
        <v>7301</v>
      </c>
      <c r="D100" s="1" t="n">
        <v>11110.92</v>
      </c>
      <c r="E100" s="1" t="n">
        <v>91</v>
      </c>
      <c r="F100" s="1" t="n">
        <v>6682.77</v>
      </c>
      <c r="G100" s="1" t="n">
        <v>0.51</v>
      </c>
      <c r="H100" s="1" t="n">
        <v>1.52</v>
      </c>
      <c r="I100" s="1" t="n">
        <v>7.82</v>
      </c>
      <c r="J100" s="1" t="n">
        <v>122.1</v>
      </c>
      <c r="K100" s="1" t="n">
        <f aca="false">IFERROR(F100/D100,"")</f>
        <v>0.601459645105896</v>
      </c>
    </row>
    <row r="101" customFormat="false" ht="12.8" hidden="false" customHeight="false" outlineLevel="0" collapsed="false">
      <c r="A101" s="1" t="n">
        <v>100</v>
      </c>
      <c r="B101" s="1" t="n">
        <v>754562</v>
      </c>
      <c r="C101" s="1" t="n">
        <v>4748</v>
      </c>
      <c r="D101" s="1" t="n">
        <v>0</v>
      </c>
      <c r="E101" s="1" t="n">
        <v>47</v>
      </c>
      <c r="F101" s="1" t="n">
        <v>3493.61</v>
      </c>
      <c r="G101" s="1" t="n">
        <v>0.63</v>
      </c>
      <c r="H101" s="1" t="n">
        <v>0</v>
      </c>
      <c r="I101" s="1" t="n">
        <v>0</v>
      </c>
      <c r="J101" s="1" t="n">
        <v>0</v>
      </c>
      <c r="K101" s="1" t="str">
        <f aca="false">IFERROR(F101/D101,"")</f>
        <v/>
      </c>
    </row>
    <row r="102" customFormat="false" ht="12.8" hidden="false" customHeight="false" outlineLevel="0" collapsed="false">
      <c r="A102" s="1" t="n">
        <v>101</v>
      </c>
      <c r="B102" s="1" t="n">
        <v>672374</v>
      </c>
      <c r="C102" s="1" t="n">
        <v>3725</v>
      </c>
      <c r="D102" s="1" t="n">
        <v>5645.38</v>
      </c>
      <c r="E102" s="1" t="n">
        <v>25</v>
      </c>
      <c r="F102" s="1" t="n">
        <v>1762.52</v>
      </c>
      <c r="G102" s="1" t="n">
        <v>0.55</v>
      </c>
      <c r="H102" s="1" t="n">
        <v>1.52</v>
      </c>
      <c r="I102" s="1" t="n">
        <v>8.4</v>
      </c>
      <c r="J102" s="1" t="n">
        <v>225.82</v>
      </c>
      <c r="K102" s="1" t="n">
        <f aca="false">IFERROR(F102/D102,"")</f>
        <v>0.312205732829322</v>
      </c>
    </row>
    <row r="103" customFormat="false" ht="12.8" hidden="false" customHeight="false" outlineLevel="0" collapsed="false">
      <c r="A103" s="1" t="n">
        <v>102</v>
      </c>
      <c r="B103" s="1" t="n">
        <v>2727204</v>
      </c>
      <c r="C103" s="1" t="n">
        <v>8192</v>
      </c>
      <c r="D103" s="1" t="n">
        <v>12353.41</v>
      </c>
      <c r="E103" s="1" t="n">
        <v>86</v>
      </c>
      <c r="F103" s="1" t="n">
        <v>6981.32</v>
      </c>
      <c r="G103" s="1" t="n">
        <v>0.3</v>
      </c>
      <c r="H103" s="1" t="n">
        <v>1.51</v>
      </c>
      <c r="I103" s="1" t="n">
        <v>4.53</v>
      </c>
      <c r="J103" s="1" t="n">
        <v>143.64</v>
      </c>
      <c r="K103" s="1" t="n">
        <f aca="false">IFERROR(F103/D103,"")</f>
        <v>0.565133028046507</v>
      </c>
    </row>
    <row r="104" customFormat="false" ht="12.8" hidden="false" customHeight="false" outlineLevel="0" collapsed="false">
      <c r="A104" s="1" t="n">
        <v>103</v>
      </c>
      <c r="B104" s="1" t="n">
        <v>232640</v>
      </c>
      <c r="C104" s="1" t="n">
        <v>1996</v>
      </c>
      <c r="D104" s="1" t="n">
        <v>2876.98</v>
      </c>
      <c r="E104" s="1" t="n">
        <v>15</v>
      </c>
      <c r="F104" s="1" t="n">
        <v>1025.38</v>
      </c>
      <c r="G104" s="1" t="n">
        <v>0.86</v>
      </c>
      <c r="H104" s="1" t="n">
        <v>1.44</v>
      </c>
      <c r="I104" s="1" t="n">
        <v>12.37</v>
      </c>
      <c r="J104" s="1" t="n">
        <v>191.8</v>
      </c>
      <c r="K104" s="1" t="n">
        <f aca="false">IFERROR(F104/D104,"")</f>
        <v>0.356408456089372</v>
      </c>
    </row>
    <row r="105" customFormat="false" ht="12.8" hidden="false" customHeight="false" outlineLevel="0" collapsed="false">
      <c r="A105" s="1" t="n">
        <v>104</v>
      </c>
      <c r="B105" s="1" t="n">
        <v>1520127</v>
      </c>
      <c r="C105" s="1" t="n">
        <v>3643</v>
      </c>
      <c r="D105" s="1" t="n">
        <v>0</v>
      </c>
      <c r="E105" s="1" t="n">
        <v>54</v>
      </c>
      <c r="F105" s="1" t="n">
        <v>3604.82</v>
      </c>
      <c r="G105" s="1" t="n">
        <v>0.24</v>
      </c>
      <c r="H105" s="1" t="n">
        <v>0</v>
      </c>
      <c r="I105" s="1" t="n">
        <v>0</v>
      </c>
      <c r="J105" s="1" t="n">
        <v>0</v>
      </c>
      <c r="K105" s="1" t="str">
        <f aca="false">IFERROR(F105/D105,"")</f>
        <v/>
      </c>
    </row>
    <row r="106" customFormat="false" ht="12.8" hidden="false" customHeight="false" outlineLevel="0" collapsed="false">
      <c r="A106" s="1" t="n">
        <v>105</v>
      </c>
      <c r="B106" s="1" t="n">
        <v>507372</v>
      </c>
      <c r="C106" s="1" t="n">
        <v>4440</v>
      </c>
      <c r="D106" s="1" t="n">
        <v>0</v>
      </c>
      <c r="E106" s="1" t="n">
        <v>43</v>
      </c>
      <c r="F106" s="1" t="n">
        <v>3437.93</v>
      </c>
      <c r="G106" s="1" t="n">
        <v>0.88</v>
      </c>
      <c r="H106" s="1" t="n">
        <v>0</v>
      </c>
      <c r="I106" s="1" t="n">
        <v>0</v>
      </c>
      <c r="J106" s="1" t="n">
        <v>0</v>
      </c>
      <c r="K106" s="1" t="str">
        <f aca="false">IFERROR(F106/D106,"")</f>
        <v/>
      </c>
    </row>
    <row r="107" customFormat="false" ht="12.8" hidden="false" customHeight="false" outlineLevel="0" collapsed="false">
      <c r="A107" s="1" t="n">
        <v>106</v>
      </c>
      <c r="B107" s="1" t="n">
        <v>23836597</v>
      </c>
      <c r="C107" s="1" t="n">
        <v>61960</v>
      </c>
      <c r="D107" s="1" t="n">
        <v>0</v>
      </c>
      <c r="E107" s="1" t="n">
        <v>773</v>
      </c>
      <c r="F107" s="1" t="n">
        <v>64659.41</v>
      </c>
      <c r="G107" s="1" t="n">
        <v>0.26</v>
      </c>
      <c r="H107" s="1" t="n">
        <v>0</v>
      </c>
      <c r="I107" s="1" t="n">
        <v>0</v>
      </c>
      <c r="J107" s="1" t="n">
        <v>0</v>
      </c>
      <c r="K107" s="1" t="str">
        <f aca="false">IFERROR(F107/D107,"")</f>
        <v/>
      </c>
    </row>
    <row r="108" customFormat="false" ht="12.8" hidden="false" customHeight="false" outlineLevel="0" collapsed="false">
      <c r="A108" s="1" t="n">
        <v>107</v>
      </c>
      <c r="B108" s="1" t="n">
        <v>67186</v>
      </c>
      <c r="C108" s="1" t="n">
        <v>1153</v>
      </c>
      <c r="D108" s="1" t="n">
        <v>1737.47</v>
      </c>
      <c r="E108" s="1" t="n">
        <v>3</v>
      </c>
      <c r="F108" s="1" t="n">
        <v>187.48</v>
      </c>
      <c r="G108" s="1" t="n">
        <v>1.72</v>
      </c>
      <c r="H108" s="1" t="n">
        <v>1.51</v>
      </c>
      <c r="I108" s="1" t="n">
        <v>25.86</v>
      </c>
      <c r="J108" s="1" t="n">
        <v>579.16</v>
      </c>
      <c r="K108" s="1" t="n">
        <f aca="false">IFERROR(F108/D108,"")</f>
        <v>0.107904021364398</v>
      </c>
    </row>
    <row r="109" customFormat="false" ht="12.8" hidden="false" customHeight="false" outlineLevel="0" collapsed="false">
      <c r="A109" s="1" t="n">
        <v>108</v>
      </c>
      <c r="B109" s="1" t="n">
        <v>3724448</v>
      </c>
      <c r="C109" s="1" t="n">
        <v>9702</v>
      </c>
      <c r="D109" s="1" t="n">
        <v>13736.77</v>
      </c>
      <c r="E109" s="1" t="n">
        <v>121</v>
      </c>
      <c r="F109" s="1" t="n">
        <v>9226.64</v>
      </c>
      <c r="G109" s="1" t="n">
        <v>0.26</v>
      </c>
      <c r="H109" s="1" t="n">
        <v>1.42</v>
      </c>
      <c r="I109" s="1" t="n">
        <v>3.69</v>
      </c>
      <c r="J109" s="1" t="n">
        <v>113.53</v>
      </c>
      <c r="K109" s="1" t="n">
        <f aca="false">IFERROR(F109/D109,"")</f>
        <v>0.671674636759588</v>
      </c>
    </row>
    <row r="110" customFormat="false" ht="12.8" hidden="false" customHeight="false" outlineLevel="0" collapsed="false">
      <c r="A110" s="1" t="n">
        <v>109</v>
      </c>
      <c r="B110" s="1" t="n">
        <v>63369</v>
      </c>
      <c r="C110" s="1" t="n">
        <v>934</v>
      </c>
      <c r="D110" s="1" t="n">
        <v>0</v>
      </c>
      <c r="E110" s="1" t="n">
        <v>5</v>
      </c>
      <c r="F110" s="1" t="n">
        <v>290.17</v>
      </c>
      <c r="G110" s="1" t="n">
        <v>1.47</v>
      </c>
      <c r="H110" s="1" t="n">
        <v>0</v>
      </c>
      <c r="I110" s="1" t="n">
        <v>0</v>
      </c>
      <c r="J110" s="1" t="n">
        <v>0</v>
      </c>
      <c r="K110" s="1" t="str">
        <f aca="false">IFERROR(F110/D110,"")</f>
        <v/>
      </c>
    </row>
    <row r="111" customFormat="false" ht="12.8" hidden="false" customHeight="false" outlineLevel="0" collapsed="false">
      <c r="A111" s="1" t="n">
        <v>110</v>
      </c>
      <c r="B111" s="1" t="n">
        <v>249041</v>
      </c>
      <c r="C111" s="1" t="n">
        <v>836</v>
      </c>
      <c r="D111" s="1" t="n">
        <v>1055.82</v>
      </c>
      <c r="E111" s="1" t="n">
        <v>10</v>
      </c>
      <c r="F111" s="1" t="n">
        <v>692</v>
      </c>
      <c r="G111" s="1" t="n">
        <v>0.34</v>
      </c>
      <c r="H111" s="1" t="n">
        <v>1.26</v>
      </c>
      <c r="I111" s="1" t="n">
        <v>4.24</v>
      </c>
      <c r="J111" s="1" t="n">
        <v>105.58</v>
      </c>
      <c r="K111" s="1" t="n">
        <f aca="false">IFERROR(F111/D111,"")</f>
        <v>0.655414748726109</v>
      </c>
    </row>
    <row r="112" customFormat="false" ht="12.8" hidden="false" customHeight="false" outlineLevel="0" collapsed="false">
      <c r="A112" s="1" t="n">
        <v>111</v>
      </c>
      <c r="B112" s="1" t="n">
        <v>77632</v>
      </c>
      <c r="C112" s="1" t="n">
        <v>643</v>
      </c>
      <c r="D112" s="1" t="n">
        <v>932.79</v>
      </c>
      <c r="E112" s="1" t="n">
        <v>9</v>
      </c>
      <c r="F112" s="1" t="n">
        <v>599.61</v>
      </c>
      <c r="G112" s="1" t="n">
        <v>0.83</v>
      </c>
      <c r="H112" s="1" t="n">
        <v>1.45</v>
      </c>
      <c r="I112" s="1" t="n">
        <v>12.02</v>
      </c>
      <c r="J112" s="1" t="n">
        <v>103.64</v>
      </c>
      <c r="K112" s="1" t="n">
        <f aca="false">IFERROR(F112/D112,"")</f>
        <v>0.642813494998874</v>
      </c>
    </row>
    <row r="113" customFormat="false" ht="12.8" hidden="false" customHeight="false" outlineLevel="0" collapsed="false">
      <c r="A113" s="1" t="n">
        <v>112</v>
      </c>
      <c r="B113" s="1" t="n">
        <v>314781</v>
      </c>
      <c r="C113" s="1" t="n">
        <v>2173</v>
      </c>
      <c r="D113" s="1" t="n">
        <v>2891.01</v>
      </c>
      <c r="E113" s="1" t="n">
        <v>25</v>
      </c>
      <c r="F113" s="1" t="n">
        <v>2062.22</v>
      </c>
      <c r="G113" s="1" t="n">
        <v>0.69</v>
      </c>
      <c r="H113" s="1" t="n">
        <v>1.33</v>
      </c>
      <c r="I113" s="1" t="n">
        <v>9.18</v>
      </c>
      <c r="J113" s="1" t="n">
        <v>115.64</v>
      </c>
      <c r="K113" s="1" t="n">
        <f aca="false">IFERROR(F113/D113,"")</f>
        <v>0.71332164191753</v>
      </c>
    </row>
    <row r="114" customFormat="false" ht="12.8" hidden="false" customHeight="false" outlineLevel="0" collapsed="false">
      <c r="A114" s="1" t="n">
        <v>113</v>
      </c>
      <c r="B114" s="1" t="n">
        <v>2704783</v>
      </c>
      <c r="C114" s="1" t="n">
        <v>12136</v>
      </c>
      <c r="D114" s="1" t="n">
        <v>0</v>
      </c>
      <c r="E114" s="1" t="n">
        <v>157</v>
      </c>
      <c r="F114" s="1" t="n">
        <v>12420.01</v>
      </c>
      <c r="G114" s="1" t="n">
        <v>0.45</v>
      </c>
      <c r="H114" s="1" t="n">
        <v>0</v>
      </c>
      <c r="I114" s="1" t="n">
        <v>0</v>
      </c>
      <c r="J114" s="1" t="n">
        <v>0</v>
      </c>
      <c r="K114" s="1" t="str">
        <f aca="false">IFERROR(F114/D114,"")</f>
        <v/>
      </c>
    </row>
    <row r="115" customFormat="false" ht="12.8" hidden="false" customHeight="false" outlineLevel="0" collapsed="false">
      <c r="A115" s="1" t="n">
        <v>114</v>
      </c>
      <c r="B115" s="1" t="n">
        <v>1814159</v>
      </c>
      <c r="C115" s="1" t="n">
        <v>9681</v>
      </c>
      <c r="D115" s="1" t="n">
        <v>0</v>
      </c>
      <c r="E115" s="1" t="n">
        <v>93</v>
      </c>
      <c r="F115" s="1" t="n">
        <v>6045.76</v>
      </c>
      <c r="G115" s="1" t="n">
        <v>0.53</v>
      </c>
      <c r="H115" s="1" t="n">
        <v>0</v>
      </c>
      <c r="I115" s="1" t="n">
        <v>0</v>
      </c>
      <c r="J115" s="1" t="n">
        <v>0</v>
      </c>
      <c r="K115" s="1" t="str">
        <f aca="false">IFERROR(F115/D115,"")</f>
        <v/>
      </c>
    </row>
    <row r="116" customFormat="false" ht="12.8" hidden="false" customHeight="false" outlineLevel="0" collapsed="false">
      <c r="A116" s="1" t="n">
        <v>115</v>
      </c>
      <c r="B116" s="1" t="n">
        <v>1097877</v>
      </c>
      <c r="C116" s="1" t="n">
        <v>8127</v>
      </c>
      <c r="D116" s="1" t="n">
        <v>11505.94</v>
      </c>
      <c r="E116" s="1" t="n">
        <v>71</v>
      </c>
      <c r="F116" s="1" t="n">
        <v>4922.71</v>
      </c>
      <c r="G116" s="1" t="n">
        <v>0.74</v>
      </c>
      <c r="H116" s="1" t="n">
        <v>1.42</v>
      </c>
      <c r="I116" s="1" t="n">
        <v>10.48</v>
      </c>
      <c r="J116" s="1" t="n">
        <v>162.06</v>
      </c>
      <c r="K116" s="1" t="n">
        <f aca="false">IFERROR(F116/D116,"")</f>
        <v>0.427840750082131</v>
      </c>
    </row>
    <row r="117" customFormat="false" ht="12.8" hidden="false" customHeight="false" outlineLevel="0" collapsed="false">
      <c r="A117" s="1" t="n">
        <v>116</v>
      </c>
      <c r="B117" s="1" t="n">
        <v>1912436</v>
      </c>
      <c r="C117" s="1" t="n">
        <v>9394</v>
      </c>
      <c r="D117" s="1" t="n">
        <v>13357.04</v>
      </c>
      <c r="E117" s="1" t="n">
        <v>92</v>
      </c>
      <c r="F117" s="1" t="n">
        <v>5398.69</v>
      </c>
      <c r="G117" s="1" t="n">
        <v>0.49</v>
      </c>
      <c r="H117" s="1" t="n">
        <v>1.42</v>
      </c>
      <c r="I117" s="1" t="n">
        <v>6.98</v>
      </c>
      <c r="J117" s="1" t="n">
        <v>145.19</v>
      </c>
      <c r="K117" s="1" t="n">
        <f aca="false">IFERROR(F117/D117,"")</f>
        <v>0.404183112426106</v>
      </c>
    </row>
    <row r="118" customFormat="false" ht="12.8" hidden="false" customHeight="false" outlineLevel="0" collapsed="false">
      <c r="A118" s="1" t="n">
        <v>117</v>
      </c>
      <c r="B118" s="1" t="n">
        <v>90817</v>
      </c>
      <c r="C118" s="1" t="n">
        <v>1543</v>
      </c>
      <c r="D118" s="1" t="n">
        <v>2190.24</v>
      </c>
      <c r="E118" s="1" t="n">
        <v>2</v>
      </c>
      <c r="F118" s="1" t="n">
        <v>31.37</v>
      </c>
      <c r="G118" s="1" t="n">
        <v>1.7</v>
      </c>
      <c r="H118" s="1" t="n">
        <v>1.42</v>
      </c>
      <c r="I118" s="1" t="n">
        <v>24.12</v>
      </c>
      <c r="J118" s="1" t="n">
        <v>1095.12</v>
      </c>
      <c r="K118" s="1" t="n">
        <f aca="false">IFERROR(F118/D118,"")</f>
        <v>0.0143226313098108</v>
      </c>
    </row>
    <row r="119" customFormat="false" ht="12.8" hidden="false" customHeight="false" outlineLevel="0" collapsed="false">
      <c r="A119" s="1" t="n">
        <v>118</v>
      </c>
      <c r="B119" s="1" t="n">
        <v>49957</v>
      </c>
      <c r="C119" s="1" t="n">
        <v>754</v>
      </c>
      <c r="D119" s="1" t="n">
        <v>1185.27</v>
      </c>
      <c r="E119" s="1" t="n">
        <v>2</v>
      </c>
      <c r="F119" s="1" t="n">
        <v>164.87</v>
      </c>
      <c r="G119" s="1" t="n">
        <v>1.51</v>
      </c>
      <c r="H119" s="1" t="n">
        <v>1.57</v>
      </c>
      <c r="I119" s="1" t="n">
        <v>23.73</v>
      </c>
      <c r="J119" s="1" t="n">
        <v>592.64</v>
      </c>
      <c r="K119" s="1" t="n">
        <f aca="false">IFERROR(F119/D119,"")</f>
        <v>0.139099108220068</v>
      </c>
    </row>
    <row r="120" customFormat="false" ht="12.8" hidden="false" customHeight="false" outlineLevel="0" collapsed="false">
      <c r="A120" s="1" t="n">
        <v>119</v>
      </c>
      <c r="B120" s="1" t="n">
        <v>768914</v>
      </c>
      <c r="C120" s="1" t="n">
        <v>5756</v>
      </c>
      <c r="D120" s="1" t="n">
        <v>8635.42</v>
      </c>
      <c r="E120" s="1" t="n">
        <v>64</v>
      </c>
      <c r="F120" s="1" t="n">
        <v>4255.1</v>
      </c>
      <c r="G120" s="1" t="n">
        <v>0.75</v>
      </c>
      <c r="H120" s="1" t="n">
        <v>1.5</v>
      </c>
      <c r="I120" s="1" t="n">
        <v>11.23</v>
      </c>
      <c r="J120" s="1" t="n">
        <v>134.93</v>
      </c>
      <c r="K120" s="1" t="n">
        <f aca="false">IFERROR(F120/D120,"")</f>
        <v>0.492749628854184</v>
      </c>
    </row>
    <row r="121" customFormat="false" ht="12.8" hidden="false" customHeight="false" outlineLevel="0" collapsed="false">
      <c r="A121" s="1" t="n">
        <v>120</v>
      </c>
      <c r="B121" s="1" t="n">
        <v>900427</v>
      </c>
      <c r="C121" s="1" t="n">
        <v>6536</v>
      </c>
      <c r="D121" s="1" t="n">
        <v>0</v>
      </c>
      <c r="E121" s="1" t="n">
        <v>75</v>
      </c>
      <c r="F121" s="1" t="n">
        <v>4590.43</v>
      </c>
      <c r="G121" s="1" t="n">
        <v>0.73</v>
      </c>
      <c r="H121" s="1" t="n">
        <v>0</v>
      </c>
      <c r="I121" s="1" t="n">
        <v>0</v>
      </c>
      <c r="J121" s="1" t="n">
        <v>0</v>
      </c>
      <c r="K121" s="1" t="str">
        <f aca="false">IFERROR(F121/D121,"")</f>
        <v/>
      </c>
    </row>
    <row r="122" customFormat="false" ht="12.8" hidden="false" customHeight="false" outlineLevel="0" collapsed="false">
      <c r="A122" s="1" t="n">
        <v>121</v>
      </c>
      <c r="B122" s="1" t="n">
        <v>1408227</v>
      </c>
      <c r="C122" s="1" t="n">
        <v>9640</v>
      </c>
      <c r="D122" s="1" t="n">
        <v>14413.17</v>
      </c>
      <c r="E122" s="1" t="n">
        <v>93</v>
      </c>
      <c r="F122" s="1" t="n">
        <v>5504.81</v>
      </c>
      <c r="G122" s="1" t="n">
        <v>0.68</v>
      </c>
      <c r="H122" s="1" t="n">
        <v>1.5</v>
      </c>
      <c r="I122" s="1" t="n">
        <v>10.23</v>
      </c>
      <c r="J122" s="1" t="n">
        <v>154.98</v>
      </c>
      <c r="K122" s="1" t="n">
        <f aca="false">IFERROR(F122/D122,"")</f>
        <v>0.381929166172327</v>
      </c>
    </row>
    <row r="123" customFormat="false" ht="12.8" hidden="false" customHeight="false" outlineLevel="0" collapsed="false">
      <c r="A123" s="1" t="n">
        <v>122</v>
      </c>
      <c r="B123" s="1" t="n">
        <v>2259860</v>
      </c>
      <c r="C123" s="1" t="n">
        <v>10315</v>
      </c>
      <c r="D123" s="1" t="n">
        <v>15225.5</v>
      </c>
      <c r="E123" s="1" t="n">
        <v>129</v>
      </c>
      <c r="F123" s="1" t="n">
        <v>9956.03</v>
      </c>
      <c r="G123" s="1" t="n">
        <v>0.46</v>
      </c>
      <c r="H123" s="1" t="n">
        <v>1.48</v>
      </c>
      <c r="I123" s="1" t="n">
        <v>6.74</v>
      </c>
      <c r="J123" s="1" t="n">
        <v>118.03</v>
      </c>
      <c r="K123" s="1" t="n">
        <f aca="false">IFERROR(F123/D123,"")</f>
        <v>0.653904962070211</v>
      </c>
    </row>
    <row r="124" customFormat="false" ht="12.8" hidden="false" customHeight="false" outlineLevel="0" collapsed="false">
      <c r="A124" s="1" t="n">
        <v>123</v>
      </c>
      <c r="B124" s="1" t="n">
        <v>485473</v>
      </c>
      <c r="C124" s="1" t="n">
        <v>3366</v>
      </c>
      <c r="D124" s="1" t="n">
        <v>4549.01</v>
      </c>
      <c r="E124" s="1" t="n">
        <v>35</v>
      </c>
      <c r="F124" s="1" t="n">
        <v>3412.51</v>
      </c>
      <c r="G124" s="1" t="n">
        <v>0.69</v>
      </c>
      <c r="H124" s="1" t="n">
        <v>1.35</v>
      </c>
      <c r="I124" s="1" t="n">
        <v>9.37</v>
      </c>
      <c r="J124" s="1" t="n">
        <v>129.97</v>
      </c>
      <c r="K124" s="1" t="n">
        <f aca="false">IFERROR(F124/D124,"")</f>
        <v>0.750165420608</v>
      </c>
    </row>
    <row r="125" customFormat="false" ht="12.8" hidden="false" customHeight="false" outlineLevel="0" collapsed="false">
      <c r="A125" s="1" t="n">
        <v>124</v>
      </c>
      <c r="B125" s="1" t="n">
        <v>609424</v>
      </c>
      <c r="C125" s="1" t="n">
        <v>3389</v>
      </c>
      <c r="D125" s="1" t="n">
        <v>0</v>
      </c>
      <c r="E125" s="1" t="n">
        <v>36</v>
      </c>
      <c r="F125" s="1" t="n">
        <v>2258.35</v>
      </c>
      <c r="G125" s="1" t="n">
        <v>0.56</v>
      </c>
      <c r="H125" s="1" t="n">
        <v>0</v>
      </c>
      <c r="I125" s="1" t="n">
        <v>0</v>
      </c>
      <c r="J125" s="1" t="n">
        <v>0</v>
      </c>
      <c r="K125" s="1" t="str">
        <f aca="false">IFERROR(F125/D125,"")</f>
        <v/>
      </c>
    </row>
    <row r="126" customFormat="false" ht="12.8" hidden="false" customHeight="false" outlineLevel="0" collapsed="false">
      <c r="A126" s="1" t="n">
        <v>125</v>
      </c>
      <c r="B126" s="1" t="n">
        <v>38168</v>
      </c>
      <c r="C126" s="1" t="n">
        <v>869</v>
      </c>
      <c r="D126" s="1" t="n">
        <v>0</v>
      </c>
      <c r="E126" s="1" t="n">
        <v>0</v>
      </c>
      <c r="F126" s="1" t="n">
        <v>0</v>
      </c>
      <c r="G126" s="1" t="n">
        <v>2.28</v>
      </c>
      <c r="H126" s="1" t="n">
        <v>0</v>
      </c>
      <c r="I126" s="1" t="n">
        <v>0</v>
      </c>
      <c r="K126" s="1" t="str">
        <f aca="false">IFERROR(F126/D126,"")</f>
        <v/>
      </c>
    </row>
    <row r="127" customFormat="false" ht="12.8" hidden="false" customHeight="false" outlineLevel="0" collapsed="false">
      <c r="A127" s="1" t="n">
        <v>126</v>
      </c>
      <c r="B127" s="1" t="n">
        <v>1345059</v>
      </c>
      <c r="C127" s="1" t="n">
        <v>5692</v>
      </c>
      <c r="D127" s="1" t="n">
        <v>8004.37</v>
      </c>
      <c r="E127" s="1" t="n">
        <v>63</v>
      </c>
      <c r="F127" s="1" t="n">
        <v>4584</v>
      </c>
      <c r="G127" s="1" t="n">
        <v>0.42</v>
      </c>
      <c r="H127" s="1" t="n">
        <v>1.41</v>
      </c>
      <c r="I127" s="1" t="n">
        <v>5.95</v>
      </c>
      <c r="J127" s="1" t="n">
        <v>127.05</v>
      </c>
      <c r="K127" s="1" t="n">
        <f aca="false">IFERROR(F127/D127,"")</f>
        <v>0.572687169633588</v>
      </c>
    </row>
    <row r="128" customFormat="false" ht="12.8" hidden="false" customHeight="false" outlineLevel="0" collapsed="false">
      <c r="A128" s="1" t="n">
        <v>127</v>
      </c>
      <c r="B128" s="1" t="n">
        <v>2122270</v>
      </c>
      <c r="C128" s="1" t="n">
        <v>7889</v>
      </c>
      <c r="D128" s="1" t="n">
        <v>12081.17</v>
      </c>
      <c r="E128" s="1" t="n">
        <v>76</v>
      </c>
      <c r="F128" s="1" t="n">
        <v>4715.28</v>
      </c>
      <c r="G128" s="1" t="n">
        <v>0.37</v>
      </c>
      <c r="H128" s="1" t="n">
        <v>1.53</v>
      </c>
      <c r="I128" s="1" t="n">
        <v>5.69</v>
      </c>
      <c r="J128" s="1" t="n">
        <v>158.96</v>
      </c>
      <c r="K128" s="1" t="n">
        <f aca="false">IFERROR(F128/D128,"")</f>
        <v>0.390299946114491</v>
      </c>
    </row>
    <row r="129" customFormat="false" ht="12.8" hidden="false" customHeight="false" outlineLevel="0" collapsed="false">
      <c r="A129" s="1" t="n">
        <v>128</v>
      </c>
      <c r="B129" s="1" t="n">
        <v>312533</v>
      </c>
      <c r="C129" s="1" t="n">
        <v>2147</v>
      </c>
      <c r="D129" s="1" t="n">
        <v>2977.71</v>
      </c>
      <c r="E129" s="1" t="n">
        <v>28</v>
      </c>
      <c r="F129" s="1" t="n">
        <v>1895.71</v>
      </c>
      <c r="G129" s="1" t="n">
        <v>0.69</v>
      </c>
      <c r="H129" s="1" t="n">
        <v>1.39</v>
      </c>
      <c r="I129" s="1" t="n">
        <v>9.53</v>
      </c>
      <c r="J129" s="1" t="n">
        <v>106.35</v>
      </c>
      <c r="K129" s="1" t="n">
        <f aca="false">IFERROR(F129/D129,"")</f>
        <v>0.63663352038983</v>
      </c>
    </row>
    <row r="130" customFormat="false" ht="12.8" hidden="false" customHeight="false" outlineLevel="0" collapsed="false">
      <c r="A130" s="1" t="n">
        <v>129</v>
      </c>
      <c r="B130" s="1" t="n">
        <v>442451</v>
      </c>
      <c r="C130" s="1" t="n">
        <v>1815</v>
      </c>
      <c r="D130" s="1" t="n">
        <v>2759.02</v>
      </c>
      <c r="E130" s="1" t="n">
        <v>19</v>
      </c>
      <c r="F130" s="1" t="n">
        <v>1070.62</v>
      </c>
      <c r="G130" s="1" t="n">
        <v>0.41</v>
      </c>
      <c r="H130" s="1" t="n">
        <v>1.52</v>
      </c>
      <c r="I130" s="1" t="n">
        <v>6.24</v>
      </c>
      <c r="J130" s="1" t="n">
        <v>145.21</v>
      </c>
      <c r="K130" s="1" t="n">
        <f aca="false">IFERROR(F130/D130,"")</f>
        <v>0.388043580691695</v>
      </c>
    </row>
    <row r="131" customFormat="false" ht="12.8" hidden="false" customHeight="false" outlineLevel="0" collapsed="false">
      <c r="A131" s="1" t="n">
        <v>130</v>
      </c>
      <c r="B131" s="1" t="n">
        <v>3399208</v>
      </c>
      <c r="C131" s="1" t="n">
        <v>14403</v>
      </c>
      <c r="D131" s="1" t="n">
        <v>20498.26</v>
      </c>
      <c r="E131" s="1" t="n">
        <v>175</v>
      </c>
      <c r="F131" s="1" t="n">
        <v>12326.16</v>
      </c>
      <c r="G131" s="1" t="n">
        <v>0.42</v>
      </c>
      <c r="H131" s="1" t="n">
        <v>1.42</v>
      </c>
      <c r="I131" s="1" t="n">
        <v>6.03</v>
      </c>
      <c r="J131" s="1" t="n">
        <v>117.13</v>
      </c>
      <c r="K131" s="1" t="n">
        <f aca="false">IFERROR(F131/D131,"")</f>
        <v>0.601327137035046</v>
      </c>
    </row>
    <row r="132" customFormat="false" ht="12.8" hidden="false" customHeight="false" outlineLevel="0" collapsed="false">
      <c r="A132" s="1" t="n">
        <v>131</v>
      </c>
      <c r="B132" s="1" t="n">
        <v>400570</v>
      </c>
      <c r="C132" s="1" t="n">
        <v>2693</v>
      </c>
      <c r="D132" s="1" t="n">
        <v>3794.94</v>
      </c>
      <c r="E132" s="1" t="n">
        <v>27</v>
      </c>
      <c r="F132" s="1" t="n">
        <v>1690.08</v>
      </c>
      <c r="G132" s="1" t="n">
        <v>0.67</v>
      </c>
      <c r="H132" s="1" t="n">
        <v>1.41</v>
      </c>
      <c r="I132" s="1" t="n">
        <v>9.47</v>
      </c>
      <c r="J132" s="1" t="n">
        <v>140.55</v>
      </c>
      <c r="K132" s="1" t="n">
        <f aca="false">IFERROR(F132/D132,"")</f>
        <v>0.445350914638967</v>
      </c>
    </row>
    <row r="133" customFormat="false" ht="12.8" hidden="false" customHeight="false" outlineLevel="0" collapsed="false">
      <c r="A133" s="1" t="n">
        <v>132</v>
      </c>
      <c r="B133" s="1" t="n">
        <v>182363</v>
      </c>
      <c r="C133" s="1" t="n">
        <v>3096</v>
      </c>
      <c r="D133" s="1" t="n">
        <v>4473.52</v>
      </c>
      <c r="E133" s="1" t="n">
        <v>8</v>
      </c>
      <c r="F133" s="1" t="n">
        <v>817.36</v>
      </c>
      <c r="G133" s="1" t="n">
        <v>1.7</v>
      </c>
      <c r="H133" s="1" t="n">
        <v>1.44</v>
      </c>
      <c r="I133" s="1" t="n">
        <v>24.53</v>
      </c>
      <c r="J133" s="1" t="n">
        <v>559.19</v>
      </c>
      <c r="K133" s="1" t="n">
        <f aca="false">IFERROR(F133/D133,"")</f>
        <v>0.1827107065577</v>
      </c>
    </row>
    <row r="134" customFormat="false" ht="12.8" hidden="false" customHeight="false" outlineLevel="0" collapsed="false">
      <c r="A134" s="1" t="n">
        <v>133</v>
      </c>
      <c r="B134" s="1" t="n">
        <v>584</v>
      </c>
      <c r="C134" s="1" t="n">
        <v>14</v>
      </c>
      <c r="D134" s="1" t="n">
        <v>0</v>
      </c>
      <c r="E134" s="1" t="n">
        <v>0</v>
      </c>
      <c r="F134" s="1" t="n">
        <v>0</v>
      </c>
      <c r="G134" s="1" t="n">
        <v>2.4</v>
      </c>
      <c r="H134" s="1" t="n">
        <v>0</v>
      </c>
      <c r="I134" s="1" t="n">
        <v>0</v>
      </c>
      <c r="K134" s="1" t="str">
        <f aca="false">IFERROR(F134/D134,"")</f>
        <v/>
      </c>
    </row>
    <row r="135" customFormat="false" ht="12.8" hidden="false" customHeight="false" outlineLevel="0" collapsed="false">
      <c r="A135" s="1" t="n">
        <v>134</v>
      </c>
      <c r="B135" s="1" t="n">
        <v>121630</v>
      </c>
      <c r="C135" s="1" t="n">
        <v>1588</v>
      </c>
      <c r="D135" s="1" t="n">
        <v>0</v>
      </c>
      <c r="E135" s="1" t="n">
        <v>7</v>
      </c>
      <c r="F135" s="1" t="n">
        <v>555.11</v>
      </c>
      <c r="G135" s="1" t="n">
        <v>1.31</v>
      </c>
      <c r="H135" s="1" t="n">
        <v>0</v>
      </c>
      <c r="I135" s="1" t="n">
        <v>0</v>
      </c>
      <c r="J135" s="1" t="n">
        <v>0</v>
      </c>
      <c r="K135" s="1" t="str">
        <f aca="false">IFERROR(F135/D135,"")</f>
        <v/>
      </c>
    </row>
    <row r="136" customFormat="false" ht="12.8" hidden="false" customHeight="false" outlineLevel="0" collapsed="false">
      <c r="A136" s="1" t="n">
        <v>135</v>
      </c>
      <c r="B136" s="1" t="n">
        <v>133477</v>
      </c>
      <c r="C136" s="1" t="n">
        <v>1913</v>
      </c>
      <c r="D136" s="1" t="n">
        <v>0</v>
      </c>
      <c r="E136" s="1" t="n">
        <v>3</v>
      </c>
      <c r="F136" s="1" t="n">
        <v>256.46</v>
      </c>
      <c r="G136" s="1" t="n">
        <v>1.43</v>
      </c>
      <c r="H136" s="1" t="n">
        <v>0</v>
      </c>
      <c r="I136" s="1" t="n">
        <v>0</v>
      </c>
      <c r="J136" s="1" t="n">
        <v>0</v>
      </c>
      <c r="K136" s="1" t="str">
        <f aca="false">IFERROR(F136/D136,"")</f>
        <v/>
      </c>
    </row>
    <row r="137" customFormat="false" ht="12.8" hidden="false" customHeight="false" outlineLevel="0" collapsed="false">
      <c r="A137" s="1" t="n">
        <v>136</v>
      </c>
      <c r="B137" s="1" t="n">
        <v>162162</v>
      </c>
      <c r="C137" s="1" t="n">
        <v>663</v>
      </c>
      <c r="D137" s="1" t="n">
        <v>964.81</v>
      </c>
      <c r="E137" s="1" t="n">
        <v>4</v>
      </c>
      <c r="F137" s="1" t="n">
        <v>128.99</v>
      </c>
      <c r="G137" s="1" t="n">
        <v>0.41</v>
      </c>
      <c r="H137" s="1" t="n">
        <v>1.46</v>
      </c>
      <c r="I137" s="1" t="n">
        <v>5.95</v>
      </c>
      <c r="J137" s="1" t="n">
        <v>241.2</v>
      </c>
      <c r="K137" s="1" t="n">
        <f aca="false">IFERROR(F137/D137,"")</f>
        <v>0.133694717094558</v>
      </c>
    </row>
    <row r="138" customFormat="false" ht="12.8" hidden="false" customHeight="false" outlineLevel="0" collapsed="false">
      <c r="A138" s="1" t="n">
        <v>137</v>
      </c>
      <c r="B138" s="1" t="n">
        <v>114924</v>
      </c>
      <c r="C138" s="1" t="n">
        <v>1488</v>
      </c>
      <c r="D138" s="1" t="n">
        <v>2223.02</v>
      </c>
      <c r="E138" s="1" t="n">
        <v>9</v>
      </c>
      <c r="F138" s="1" t="n">
        <v>1004.83</v>
      </c>
      <c r="G138" s="1" t="n">
        <v>1.29</v>
      </c>
      <c r="H138" s="1" t="n">
        <v>1.49</v>
      </c>
      <c r="I138" s="1" t="n">
        <v>19.34</v>
      </c>
      <c r="J138" s="1" t="n">
        <v>247</v>
      </c>
      <c r="K138" s="1" t="n">
        <f aca="false">IFERROR(F138/D138,"")</f>
        <v>0.452011227969159</v>
      </c>
    </row>
    <row r="139" customFormat="false" ht="12.8" hidden="false" customHeight="false" outlineLevel="0" collapsed="false">
      <c r="A139" s="1" t="n">
        <v>138</v>
      </c>
      <c r="B139" s="1" t="n">
        <v>320038</v>
      </c>
      <c r="C139" s="1" t="n">
        <v>2582</v>
      </c>
      <c r="D139" s="1" t="n">
        <v>3744.95</v>
      </c>
      <c r="E139" s="1" t="n">
        <v>21</v>
      </c>
      <c r="F139" s="1" t="n">
        <v>1328.98</v>
      </c>
      <c r="G139" s="1" t="n">
        <v>0.81</v>
      </c>
      <c r="H139" s="1" t="n">
        <v>1.45</v>
      </c>
      <c r="I139" s="1" t="n">
        <v>11.7</v>
      </c>
      <c r="J139" s="1" t="n">
        <v>178.33</v>
      </c>
      <c r="K139" s="1" t="n">
        <f aca="false">IFERROR(F139/D139,"")</f>
        <v>0.354872561716445</v>
      </c>
    </row>
    <row r="140" customFormat="false" ht="12.8" hidden="false" customHeight="false" outlineLevel="0" collapsed="false">
      <c r="A140" s="1" t="n">
        <v>139</v>
      </c>
      <c r="B140" s="1" t="n">
        <v>2486351</v>
      </c>
      <c r="C140" s="1" t="n">
        <v>15118</v>
      </c>
      <c r="D140" s="1" t="n">
        <v>21828.56</v>
      </c>
      <c r="E140" s="1" t="n">
        <v>139</v>
      </c>
      <c r="F140" s="1" t="n">
        <v>9791.78</v>
      </c>
      <c r="G140" s="1" t="n">
        <v>0.61</v>
      </c>
      <c r="H140" s="1" t="n">
        <v>1.44</v>
      </c>
      <c r="I140" s="1" t="n">
        <v>8.78</v>
      </c>
      <c r="J140" s="1" t="n">
        <v>157.04</v>
      </c>
      <c r="K140" s="1" t="n">
        <f aca="false">IFERROR(F140/D140,"")</f>
        <v>0.448576543757353</v>
      </c>
    </row>
    <row r="141" customFormat="false" ht="12.8" hidden="false" customHeight="false" outlineLevel="0" collapsed="false">
      <c r="A141" s="1" t="n">
        <v>140</v>
      </c>
      <c r="B141" s="1" t="n">
        <v>1641098</v>
      </c>
      <c r="C141" s="1" t="n">
        <v>7122</v>
      </c>
      <c r="D141" s="1" t="n">
        <v>10599.24</v>
      </c>
      <c r="E141" s="1" t="n">
        <v>73</v>
      </c>
      <c r="F141" s="1" t="n">
        <v>5410.47</v>
      </c>
      <c r="G141" s="1" t="n">
        <v>0.43</v>
      </c>
      <c r="H141" s="1" t="n">
        <v>1.49</v>
      </c>
      <c r="I141" s="1" t="n">
        <v>6.46</v>
      </c>
      <c r="J141" s="1" t="n">
        <v>145.2</v>
      </c>
      <c r="K141" s="1" t="n">
        <f aca="false">IFERROR(F141/D141,"")</f>
        <v>0.510458297009974</v>
      </c>
    </row>
    <row r="142" customFormat="false" ht="12.8" hidden="false" customHeight="false" outlineLevel="0" collapsed="false">
      <c r="A142" s="1" t="n">
        <v>141</v>
      </c>
      <c r="B142" s="1" t="n">
        <v>3614869</v>
      </c>
      <c r="C142" s="1" t="n">
        <v>8332</v>
      </c>
      <c r="D142" s="1" t="n">
        <v>11060.86</v>
      </c>
      <c r="E142" s="1" t="n">
        <v>150</v>
      </c>
      <c r="F142" s="1" t="n">
        <v>10049.43</v>
      </c>
      <c r="G142" s="1" t="n">
        <v>0.23</v>
      </c>
      <c r="H142" s="1" t="n">
        <v>1.33</v>
      </c>
      <c r="I142" s="1" t="n">
        <v>3.06</v>
      </c>
      <c r="J142" s="1" t="n">
        <v>73.74</v>
      </c>
      <c r="K142" s="1" t="n">
        <f aca="false">IFERROR(F142/D142,"")</f>
        <v>0.908557743249621</v>
      </c>
    </row>
    <row r="143" customFormat="false" ht="12.8" hidden="false" customHeight="false" outlineLevel="0" collapsed="false">
      <c r="A143" s="1" t="n">
        <v>142</v>
      </c>
      <c r="B143" s="1" t="n">
        <v>794847</v>
      </c>
      <c r="C143" s="1" t="n">
        <v>5618</v>
      </c>
      <c r="D143" s="1" t="n">
        <v>7877.1</v>
      </c>
      <c r="E143" s="1" t="n">
        <v>63</v>
      </c>
      <c r="F143" s="1" t="n">
        <v>4786.08</v>
      </c>
      <c r="G143" s="1" t="n">
        <v>0.71</v>
      </c>
      <c r="H143" s="1" t="n">
        <v>1.4</v>
      </c>
      <c r="I143" s="1" t="n">
        <v>9.91</v>
      </c>
      <c r="J143" s="1" t="n">
        <v>125.03</v>
      </c>
      <c r="K143" s="1" t="n">
        <f aca="false">IFERROR(F143/D143,"")</f>
        <v>0.607594165365426</v>
      </c>
    </row>
    <row r="144" customFormat="false" ht="12.8" hidden="false" customHeight="false" outlineLevel="0" collapsed="false">
      <c r="A144" s="1" t="n">
        <v>143</v>
      </c>
      <c r="B144" s="1" t="n">
        <v>552222</v>
      </c>
      <c r="C144" s="1" t="n">
        <v>1335</v>
      </c>
      <c r="D144" s="1" t="n">
        <v>2041.18</v>
      </c>
      <c r="E144" s="1" t="n">
        <v>19</v>
      </c>
      <c r="F144" s="1" t="n">
        <v>1419.36</v>
      </c>
      <c r="G144" s="1" t="n">
        <v>0.24</v>
      </c>
      <c r="H144" s="1" t="n">
        <v>1.53</v>
      </c>
      <c r="I144" s="1" t="n">
        <v>3.7</v>
      </c>
      <c r="J144" s="1" t="n">
        <v>107.43</v>
      </c>
      <c r="K144" s="1" t="n">
        <f aca="false">IFERROR(F144/D144,"")</f>
        <v>0.695362486404923</v>
      </c>
    </row>
    <row r="145" customFormat="false" ht="12.8" hidden="false" customHeight="false" outlineLevel="0" collapsed="false">
      <c r="A145" s="1" t="n">
        <v>144</v>
      </c>
      <c r="B145" s="1" t="n">
        <v>142452</v>
      </c>
      <c r="C145" s="1" t="n">
        <v>1352</v>
      </c>
      <c r="D145" s="1" t="n">
        <v>1952.79</v>
      </c>
      <c r="E145" s="1" t="n">
        <v>15</v>
      </c>
      <c r="F145" s="1" t="n">
        <v>1209.12</v>
      </c>
      <c r="G145" s="1" t="n">
        <v>0.95</v>
      </c>
      <c r="H145" s="1" t="n">
        <v>1.44</v>
      </c>
      <c r="I145" s="1" t="n">
        <v>13.71</v>
      </c>
      <c r="J145" s="1" t="n">
        <v>130.19</v>
      </c>
      <c r="K145" s="1" t="n">
        <f aca="false">IFERROR(F145/D145,"")</f>
        <v>0.619175641005945</v>
      </c>
    </row>
    <row r="146" customFormat="false" ht="12.8" hidden="false" customHeight="false" outlineLevel="0" collapsed="false">
      <c r="A146" s="1" t="n">
        <v>145</v>
      </c>
      <c r="B146" s="1" t="n">
        <v>1434326</v>
      </c>
      <c r="C146" s="1" t="n">
        <v>5381</v>
      </c>
      <c r="D146" s="1" t="n">
        <v>7351.19</v>
      </c>
      <c r="E146" s="1" t="n">
        <v>60</v>
      </c>
      <c r="F146" s="1" t="n">
        <v>4394.03</v>
      </c>
      <c r="G146" s="1" t="n">
        <v>0.38</v>
      </c>
      <c r="H146" s="1" t="n">
        <v>1.37</v>
      </c>
      <c r="I146" s="1" t="n">
        <v>5.13</v>
      </c>
      <c r="J146" s="1" t="n">
        <v>122.52</v>
      </c>
      <c r="K146" s="1" t="n">
        <f aca="false">IFERROR(F146/D146,"")</f>
        <v>0.597730435480514</v>
      </c>
    </row>
    <row r="147" customFormat="false" ht="12.8" hidden="false" customHeight="false" outlineLevel="0" collapsed="false">
      <c r="A147" s="1" t="n">
        <v>146</v>
      </c>
      <c r="B147" s="1" t="n">
        <v>2706941</v>
      </c>
      <c r="C147" s="1" t="n">
        <v>9512</v>
      </c>
      <c r="D147" s="1" t="n">
        <v>13520.01</v>
      </c>
      <c r="E147" s="1" t="n">
        <v>116</v>
      </c>
      <c r="F147" s="1" t="n">
        <v>8652.36</v>
      </c>
      <c r="G147" s="1" t="n">
        <v>0.35</v>
      </c>
      <c r="H147" s="1" t="n">
        <v>1.42</v>
      </c>
      <c r="I147" s="1" t="n">
        <v>4.99</v>
      </c>
      <c r="J147" s="1" t="n">
        <v>116.55</v>
      </c>
      <c r="K147" s="1" t="n">
        <f aca="false">IFERROR(F147/D147,"")</f>
        <v>0.639966982272942</v>
      </c>
    </row>
    <row r="148" customFormat="false" ht="12.8" hidden="false" customHeight="false" outlineLevel="0" collapsed="false">
      <c r="A148" s="1" t="n">
        <v>147</v>
      </c>
      <c r="B148" s="1" t="n">
        <v>57668</v>
      </c>
      <c r="C148" s="1" t="n">
        <v>723</v>
      </c>
      <c r="D148" s="1" t="n">
        <v>0</v>
      </c>
      <c r="E148" s="1" t="n">
        <v>5</v>
      </c>
      <c r="F148" s="1" t="n">
        <v>407.13</v>
      </c>
      <c r="G148" s="1" t="n">
        <v>1.25</v>
      </c>
      <c r="H148" s="1" t="n">
        <v>0</v>
      </c>
      <c r="I148" s="1" t="n">
        <v>0</v>
      </c>
      <c r="J148" s="1" t="n">
        <v>0</v>
      </c>
      <c r="K148" s="1" t="str">
        <f aca="false">IFERROR(F148/D148,"")</f>
        <v/>
      </c>
    </row>
    <row r="149" customFormat="false" ht="12.8" hidden="false" customHeight="false" outlineLevel="0" collapsed="false">
      <c r="A149" s="1" t="n">
        <v>148</v>
      </c>
      <c r="B149" s="1" t="n">
        <v>3013073</v>
      </c>
      <c r="C149" s="1" t="n">
        <v>16342</v>
      </c>
      <c r="D149" s="1" t="n">
        <v>23570.9</v>
      </c>
      <c r="E149" s="1" t="n">
        <v>138</v>
      </c>
      <c r="F149" s="1" t="n">
        <v>11554.66</v>
      </c>
      <c r="G149" s="1" t="n">
        <v>0.54</v>
      </c>
      <c r="H149" s="1" t="n">
        <v>1.44</v>
      </c>
      <c r="I149" s="1" t="n">
        <v>7.82</v>
      </c>
      <c r="J149" s="1" t="n">
        <v>170.8</v>
      </c>
      <c r="K149" s="1" t="n">
        <f aca="false">IFERROR(F149/D149,"")</f>
        <v>0.490208689528189</v>
      </c>
    </row>
    <row r="150" customFormat="false" ht="12.8" hidden="false" customHeight="false" outlineLevel="0" collapsed="false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K150" s="1" t="str">
        <f aca="false">IFERROR(F150/D150,"")</f>
        <v/>
      </c>
    </row>
    <row r="151" customFormat="false" ht="12.8" hidden="false" customHeight="false" outlineLevel="0" collapsed="false">
      <c r="A151" s="1" t="n">
        <v>150</v>
      </c>
      <c r="B151" s="1" t="n">
        <v>2326839</v>
      </c>
      <c r="C151" s="1" t="n">
        <v>8233</v>
      </c>
      <c r="D151" s="1" t="n">
        <v>0</v>
      </c>
      <c r="E151" s="1" t="n">
        <v>87</v>
      </c>
      <c r="F151" s="1" t="n">
        <v>5739.55</v>
      </c>
      <c r="G151" s="1" t="n">
        <v>0.35</v>
      </c>
      <c r="H151" s="1" t="n">
        <v>0</v>
      </c>
      <c r="I151" s="1" t="n">
        <v>0</v>
      </c>
      <c r="J151" s="1" t="n">
        <v>0</v>
      </c>
      <c r="K151" s="1" t="str">
        <f aca="false">IFERROR(F151/D151,"")</f>
        <v/>
      </c>
    </row>
    <row r="152" customFormat="false" ht="12.8" hidden="false" customHeight="false" outlineLevel="0" collapsed="false">
      <c r="A152" s="1" t="n">
        <v>151</v>
      </c>
      <c r="B152" s="1" t="n">
        <v>773893</v>
      </c>
      <c r="C152" s="1" t="n">
        <v>4648</v>
      </c>
      <c r="D152" s="1" t="n">
        <v>6824.14</v>
      </c>
      <c r="E152" s="1" t="n">
        <v>49</v>
      </c>
      <c r="F152" s="1" t="n">
        <v>3018.96</v>
      </c>
      <c r="G152" s="1" t="n">
        <v>0.6</v>
      </c>
      <c r="H152" s="1" t="n">
        <v>1.47</v>
      </c>
      <c r="I152" s="1" t="n">
        <v>8.82</v>
      </c>
      <c r="J152" s="1" t="n">
        <v>139.27</v>
      </c>
      <c r="K152" s="1" t="n">
        <f aca="false">IFERROR(F152/D152,"")</f>
        <v>0.442394206449457</v>
      </c>
    </row>
    <row r="153" customFormat="false" ht="12.8" hidden="false" customHeight="false" outlineLevel="0" collapsed="false">
      <c r="A153" s="1" t="n">
        <v>152</v>
      </c>
      <c r="B153" s="1" t="n">
        <v>775912</v>
      </c>
      <c r="C153" s="1" t="n">
        <v>9351</v>
      </c>
      <c r="D153" s="1" t="n">
        <v>13869.25</v>
      </c>
      <c r="E153" s="1" t="n">
        <v>63</v>
      </c>
      <c r="F153" s="1" t="n">
        <v>4417.64</v>
      </c>
      <c r="G153" s="1" t="n">
        <v>1.21</v>
      </c>
      <c r="H153" s="1" t="n">
        <v>1.48</v>
      </c>
      <c r="I153" s="1" t="n">
        <v>17.87</v>
      </c>
      <c r="J153" s="1" t="n">
        <v>220.15</v>
      </c>
      <c r="K153" s="1" t="n">
        <f aca="false">IFERROR(F153/D153,"")</f>
        <v>0.31852046794167</v>
      </c>
    </row>
    <row r="154" customFormat="false" ht="12.8" hidden="false" customHeight="false" outlineLevel="0" collapsed="false">
      <c r="A154" s="1" t="n">
        <v>153</v>
      </c>
      <c r="B154" s="1" t="n">
        <v>706201</v>
      </c>
      <c r="C154" s="1" t="n">
        <v>4637</v>
      </c>
      <c r="D154" s="1" t="n">
        <v>6605.55</v>
      </c>
      <c r="E154" s="1" t="n">
        <v>41</v>
      </c>
      <c r="F154" s="1" t="n">
        <v>2552.45</v>
      </c>
      <c r="G154" s="1" t="n">
        <v>0.66</v>
      </c>
      <c r="H154" s="1" t="n">
        <v>1.42</v>
      </c>
      <c r="I154" s="1" t="n">
        <v>9.35</v>
      </c>
      <c r="J154" s="1" t="n">
        <v>161.11</v>
      </c>
      <c r="K154" s="1" t="n">
        <f aca="false">IFERROR(F154/D154,"")</f>
        <v>0.386409912876293</v>
      </c>
    </row>
    <row r="155" customFormat="false" ht="12.8" hidden="false" customHeight="false" outlineLevel="0" collapsed="false">
      <c r="A155" s="1" t="n">
        <v>154</v>
      </c>
      <c r="B155" s="1" t="n">
        <v>3900559</v>
      </c>
      <c r="C155" s="1" t="n">
        <v>10431</v>
      </c>
      <c r="D155" s="1" t="n">
        <v>15480.76</v>
      </c>
      <c r="E155" s="1" t="n">
        <v>128</v>
      </c>
      <c r="F155" s="1" t="n">
        <v>9609.38</v>
      </c>
      <c r="G155" s="1" t="n">
        <v>0.27</v>
      </c>
      <c r="H155" s="1" t="n">
        <v>1.48</v>
      </c>
      <c r="I155" s="1" t="n">
        <v>3.97</v>
      </c>
      <c r="J155" s="1" t="n">
        <v>120.94</v>
      </c>
      <c r="K155" s="1" t="n">
        <f aca="false">IFERROR(F155/D155,"")</f>
        <v>0.620730506770985</v>
      </c>
    </row>
    <row r="156" customFormat="false" ht="12.8" hidden="false" customHeight="false" outlineLevel="0" collapsed="false">
      <c r="A156" s="1" t="n">
        <v>155</v>
      </c>
      <c r="B156" s="1" t="n">
        <v>287780</v>
      </c>
      <c r="C156" s="1" t="n">
        <v>2465</v>
      </c>
      <c r="D156" s="1" t="n">
        <v>3300.75</v>
      </c>
      <c r="E156" s="1" t="n">
        <v>29</v>
      </c>
      <c r="F156" s="1" t="n">
        <v>2555.43</v>
      </c>
      <c r="G156" s="1" t="n">
        <v>0.86</v>
      </c>
      <c r="H156" s="1" t="n">
        <v>1.34</v>
      </c>
      <c r="I156" s="1" t="n">
        <v>11.47</v>
      </c>
      <c r="J156" s="1" t="n">
        <v>113.82</v>
      </c>
      <c r="K156" s="1" t="n">
        <f aca="false">IFERROR(F156/D156,"")</f>
        <v>0.774196773460577</v>
      </c>
    </row>
    <row r="157" customFormat="false" ht="12.8" hidden="false" customHeight="false" outlineLevel="0" collapsed="false">
      <c r="A157" s="1" t="n">
        <v>156</v>
      </c>
      <c r="B157" s="1" t="n">
        <v>115146</v>
      </c>
      <c r="C157" s="1" t="n">
        <v>1593</v>
      </c>
      <c r="D157" s="1" t="n">
        <v>0</v>
      </c>
      <c r="E157" s="1" t="n">
        <v>6</v>
      </c>
      <c r="F157" s="1" t="n">
        <v>525.89</v>
      </c>
      <c r="G157" s="1" t="n">
        <v>1.38</v>
      </c>
      <c r="H157" s="1" t="n">
        <v>0</v>
      </c>
      <c r="I157" s="1" t="n">
        <v>0</v>
      </c>
      <c r="J157" s="1" t="n">
        <v>0</v>
      </c>
      <c r="K157" s="1" t="str">
        <f aca="false">IFERROR(F157/D157,"")</f>
        <v/>
      </c>
    </row>
    <row r="158" customFormat="false" ht="12.8" hidden="false" customHeight="false" outlineLevel="0" collapsed="false">
      <c r="A158" s="1" t="n">
        <v>157</v>
      </c>
      <c r="B158" s="1" t="n">
        <v>579468</v>
      </c>
      <c r="C158" s="1" t="n">
        <v>6113</v>
      </c>
      <c r="D158" s="1" t="n">
        <v>8606.53</v>
      </c>
      <c r="E158" s="1" t="n">
        <v>53</v>
      </c>
      <c r="F158" s="1" t="n">
        <v>3619.72</v>
      </c>
      <c r="G158" s="1" t="n">
        <v>1.05</v>
      </c>
      <c r="H158" s="1" t="n">
        <v>1.41</v>
      </c>
      <c r="I158" s="1" t="n">
        <v>14.85</v>
      </c>
      <c r="J158" s="1" t="n">
        <v>162.39</v>
      </c>
      <c r="K158" s="1" t="n">
        <f aca="false">IFERROR(F158/D158,"")</f>
        <v>0.420578328315825</v>
      </c>
    </row>
    <row r="159" customFormat="false" ht="12.8" hidden="false" customHeight="false" outlineLevel="0" collapsed="false">
      <c r="A159" s="1" t="n">
        <v>158</v>
      </c>
      <c r="B159" s="1" t="n">
        <v>61608</v>
      </c>
      <c r="C159" s="1" t="n">
        <v>965</v>
      </c>
      <c r="D159" s="1" t="n">
        <v>0</v>
      </c>
      <c r="E159" s="1" t="n">
        <v>1</v>
      </c>
      <c r="F159" s="1" t="n">
        <v>142.28</v>
      </c>
      <c r="G159" s="1" t="n">
        <v>1.57</v>
      </c>
      <c r="H159" s="1" t="n">
        <v>0</v>
      </c>
      <c r="I159" s="1" t="n">
        <v>0</v>
      </c>
      <c r="J159" s="1" t="n">
        <v>0</v>
      </c>
      <c r="K159" s="1" t="str">
        <f aca="false">IFERROR(F159/D159,"")</f>
        <v/>
      </c>
    </row>
    <row r="160" customFormat="false" ht="12.8" hidden="false" customHeight="false" outlineLevel="0" collapsed="false">
      <c r="A160" s="1" t="n">
        <v>159</v>
      </c>
      <c r="B160" s="1" t="n">
        <v>979152</v>
      </c>
      <c r="C160" s="1" t="n">
        <v>6446</v>
      </c>
      <c r="D160" s="1" t="n">
        <v>9384.8</v>
      </c>
      <c r="E160" s="1" t="n">
        <v>60</v>
      </c>
      <c r="F160" s="1" t="n">
        <v>4197.85</v>
      </c>
      <c r="G160" s="1" t="n">
        <v>0.66</v>
      </c>
      <c r="H160" s="1" t="n">
        <v>1.46</v>
      </c>
      <c r="I160" s="1" t="n">
        <v>9.58</v>
      </c>
      <c r="J160" s="1" t="n">
        <v>156.41</v>
      </c>
      <c r="K160" s="1" t="n">
        <f aca="false">IFERROR(F160/D160,"")</f>
        <v>0.447303085840934</v>
      </c>
    </row>
    <row r="161" customFormat="false" ht="12.8" hidden="false" customHeight="false" outlineLevel="0" collapsed="false">
      <c r="A161" s="1" t="n">
        <v>160</v>
      </c>
      <c r="B161" s="1" t="n">
        <v>88559</v>
      </c>
      <c r="C161" s="1" t="n">
        <v>1087</v>
      </c>
      <c r="D161" s="1" t="n">
        <v>1594.05</v>
      </c>
      <c r="E161" s="1" t="n">
        <v>2</v>
      </c>
      <c r="F161" s="1" t="n">
        <v>63.3</v>
      </c>
      <c r="G161" s="1" t="n">
        <v>1.23</v>
      </c>
      <c r="H161" s="1" t="n">
        <v>1.47</v>
      </c>
      <c r="I161" s="1" t="n">
        <v>18</v>
      </c>
      <c r="J161" s="1" t="n">
        <v>797.03</v>
      </c>
      <c r="K161" s="1" t="n">
        <f aca="false">IFERROR(F161/D161,"")</f>
        <v>0.0397101722028795</v>
      </c>
    </row>
    <row r="162" customFormat="false" ht="12.8" hidden="false" customHeight="false" outlineLevel="0" collapsed="false">
      <c r="A162" s="1" t="n">
        <v>161</v>
      </c>
      <c r="B162" s="1" t="n">
        <v>2496800</v>
      </c>
      <c r="C162" s="1" t="n">
        <v>7258</v>
      </c>
      <c r="D162" s="1" t="n">
        <v>0</v>
      </c>
      <c r="E162" s="1" t="n">
        <v>68</v>
      </c>
      <c r="F162" s="1" t="n">
        <v>4025.96</v>
      </c>
      <c r="G162" s="1" t="n">
        <v>0.29</v>
      </c>
      <c r="H162" s="1" t="n">
        <v>0</v>
      </c>
      <c r="I162" s="1" t="n">
        <v>0</v>
      </c>
      <c r="J162" s="1" t="n">
        <v>0</v>
      </c>
      <c r="K162" s="1" t="str">
        <f aca="false">IFERROR(F162/D162,"")</f>
        <v/>
      </c>
    </row>
    <row r="163" customFormat="false" ht="12.8" hidden="false" customHeight="false" outlineLevel="0" collapsed="false">
      <c r="A163" s="1" t="n">
        <v>162</v>
      </c>
      <c r="B163" s="1" t="n">
        <v>1916</v>
      </c>
      <c r="C163" s="1" t="n">
        <v>69</v>
      </c>
      <c r="D163" s="1" t="n">
        <v>0</v>
      </c>
      <c r="E163" s="1" t="n">
        <v>0</v>
      </c>
      <c r="F163" s="1" t="n">
        <v>0</v>
      </c>
      <c r="G163" s="1" t="n">
        <v>3.6</v>
      </c>
      <c r="H163" s="1" t="n">
        <v>0</v>
      </c>
      <c r="I163" s="1" t="n">
        <v>0</v>
      </c>
      <c r="K163" s="1" t="str">
        <f aca="false">IFERROR(F163/D163,"")</f>
        <v/>
      </c>
    </row>
    <row r="164" customFormat="false" ht="12.8" hidden="false" customHeight="false" outlineLevel="0" collapsed="false">
      <c r="A164" s="1" t="n">
        <v>163</v>
      </c>
      <c r="B164" s="1" t="n">
        <v>1449876</v>
      </c>
      <c r="C164" s="1" t="n">
        <v>6523</v>
      </c>
      <c r="D164" s="1" t="n">
        <v>9159.03</v>
      </c>
      <c r="E164" s="1" t="n">
        <v>60</v>
      </c>
      <c r="F164" s="1" t="n">
        <v>5178.16</v>
      </c>
      <c r="G164" s="1" t="n">
        <v>0.45</v>
      </c>
      <c r="H164" s="1" t="n">
        <v>1.4</v>
      </c>
      <c r="I164" s="1" t="n">
        <v>6.32</v>
      </c>
      <c r="J164" s="1" t="n">
        <v>152.65</v>
      </c>
      <c r="K164" s="1" t="n">
        <f aca="false">IFERROR(F164/D164,"")</f>
        <v>0.565361179076824</v>
      </c>
    </row>
    <row r="165" customFormat="false" ht="12.8" hidden="false" customHeight="false" outlineLevel="0" collapsed="false">
      <c r="A165" s="1" t="n">
        <v>164</v>
      </c>
      <c r="B165" s="1" t="n">
        <v>584061</v>
      </c>
      <c r="C165" s="1" t="n">
        <v>3202</v>
      </c>
      <c r="D165" s="1" t="n">
        <v>0</v>
      </c>
      <c r="E165" s="1" t="n">
        <v>46</v>
      </c>
      <c r="F165" s="1" t="n">
        <v>3471.98</v>
      </c>
      <c r="G165" s="1" t="n">
        <v>0.55</v>
      </c>
      <c r="H165" s="1" t="n">
        <v>0</v>
      </c>
      <c r="I165" s="1" t="n">
        <v>0</v>
      </c>
      <c r="J165" s="1" t="n">
        <v>0</v>
      </c>
      <c r="K165" s="1" t="str">
        <f aca="false">IFERROR(F165/D165,"")</f>
        <v/>
      </c>
    </row>
    <row r="166" customFormat="false" ht="12.8" hidden="false" customHeight="false" outlineLevel="0" collapsed="false">
      <c r="A166" s="1" t="n">
        <v>165</v>
      </c>
      <c r="B166" s="1" t="n">
        <v>47884</v>
      </c>
      <c r="C166" s="1" t="n">
        <v>485</v>
      </c>
      <c r="D166" s="1" t="n">
        <v>0</v>
      </c>
      <c r="E166" s="1" t="n">
        <v>3</v>
      </c>
      <c r="F166" s="1" t="n">
        <v>163.9</v>
      </c>
      <c r="G166" s="1" t="n">
        <v>1.01</v>
      </c>
      <c r="H166" s="1" t="n">
        <v>0</v>
      </c>
      <c r="I166" s="1" t="n">
        <v>0</v>
      </c>
      <c r="J166" s="1" t="n">
        <v>0</v>
      </c>
      <c r="K166" s="1" t="str">
        <f aca="false">IFERROR(F166/D166,"")</f>
        <v/>
      </c>
    </row>
    <row r="167" customFormat="false" ht="12.8" hidden="false" customHeight="false" outlineLevel="0" collapsed="false">
      <c r="A167" s="1" t="n">
        <v>166</v>
      </c>
      <c r="B167" s="1" t="n">
        <v>10540</v>
      </c>
      <c r="C167" s="1" t="n">
        <v>146</v>
      </c>
      <c r="D167" s="1" t="n">
        <v>205.98</v>
      </c>
      <c r="E167" s="1" t="n">
        <v>0</v>
      </c>
      <c r="F167" s="1" t="n">
        <v>0</v>
      </c>
      <c r="G167" s="1" t="n">
        <v>1.39</v>
      </c>
      <c r="H167" s="1" t="n">
        <v>1.41</v>
      </c>
      <c r="I167" s="1" t="n">
        <v>19.54</v>
      </c>
      <c r="K167" s="1" t="n">
        <f aca="false">IFERROR(F167/D167,"")</f>
        <v>0</v>
      </c>
    </row>
    <row r="168" customFormat="false" ht="12.8" hidden="false" customHeight="false" outlineLevel="0" collapsed="false">
      <c r="A168" s="1" t="n">
        <v>167</v>
      </c>
      <c r="B168" s="1" t="n">
        <v>265114</v>
      </c>
      <c r="C168" s="1" t="n">
        <v>1647</v>
      </c>
      <c r="D168" s="1" t="n">
        <v>2306.94</v>
      </c>
      <c r="E168" s="1" t="n">
        <v>16</v>
      </c>
      <c r="F168" s="1" t="n">
        <v>1394.92</v>
      </c>
      <c r="G168" s="1" t="n">
        <v>0.62</v>
      </c>
      <c r="H168" s="1" t="n">
        <v>1.4</v>
      </c>
      <c r="I168" s="1" t="n">
        <v>8.7</v>
      </c>
      <c r="J168" s="1" t="n">
        <v>144.18</v>
      </c>
      <c r="K168" s="1" t="n">
        <f aca="false">IFERROR(F168/D168,"")</f>
        <v>0.604662453293107</v>
      </c>
    </row>
    <row r="169" customFormat="false" ht="12.8" hidden="false" customHeight="false" outlineLevel="0" collapsed="false">
      <c r="A169" s="1" t="n">
        <v>168</v>
      </c>
      <c r="B169" s="1" t="n">
        <v>52284</v>
      </c>
      <c r="C169" s="1" t="n">
        <v>149</v>
      </c>
      <c r="D169" s="1" t="n">
        <v>157.84</v>
      </c>
      <c r="E169" s="1" t="n">
        <v>3</v>
      </c>
      <c r="F169" s="1" t="n">
        <v>227.19</v>
      </c>
      <c r="G169" s="1" t="n">
        <v>0.28</v>
      </c>
      <c r="H169" s="1" t="n">
        <v>1.06</v>
      </c>
      <c r="I169" s="1" t="n">
        <v>3.02</v>
      </c>
      <c r="J169" s="1" t="n">
        <v>52.61</v>
      </c>
      <c r="K169" s="1" t="n">
        <f aca="false">IFERROR(F169/D169,"")</f>
        <v>1.43936898124683</v>
      </c>
    </row>
    <row r="170" customFormat="false" ht="12.8" hidden="false" customHeight="false" outlineLevel="0" collapsed="false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K170" s="1" t="str">
        <f aca="false">IFERROR(F170/D170,"")</f>
        <v/>
      </c>
    </row>
    <row r="171" customFormat="false" ht="12.8" hidden="false" customHeight="false" outlineLevel="0" collapsed="false">
      <c r="A171" s="1" t="n">
        <v>170</v>
      </c>
      <c r="B171" s="1" t="n">
        <v>4089603</v>
      </c>
      <c r="C171" s="1" t="n">
        <v>13480</v>
      </c>
      <c r="D171" s="1" t="n">
        <v>0</v>
      </c>
      <c r="E171" s="1" t="n">
        <v>158</v>
      </c>
      <c r="F171" s="1" t="n">
        <v>12577.22</v>
      </c>
      <c r="G171" s="1" t="n">
        <v>0.33</v>
      </c>
      <c r="H171" s="1" t="n">
        <v>0</v>
      </c>
      <c r="I171" s="1" t="n">
        <v>0</v>
      </c>
      <c r="J171" s="1" t="n">
        <v>0</v>
      </c>
      <c r="K171" s="1" t="str">
        <f aca="false">IFERROR(F171/D171,"")</f>
        <v/>
      </c>
    </row>
    <row r="172" customFormat="false" ht="12.8" hidden="false" customHeight="false" outlineLevel="0" collapsed="false">
      <c r="A172" s="1" t="n">
        <v>171</v>
      </c>
      <c r="B172" s="1" t="n">
        <v>137407</v>
      </c>
      <c r="C172" s="1" t="n">
        <v>1261</v>
      </c>
      <c r="D172" s="1" t="n">
        <v>1792.86</v>
      </c>
      <c r="E172" s="1" t="n">
        <v>9</v>
      </c>
      <c r="F172" s="1" t="n">
        <v>716.61</v>
      </c>
      <c r="G172" s="1" t="n">
        <v>0.92</v>
      </c>
      <c r="H172" s="1" t="n">
        <v>1.42</v>
      </c>
      <c r="I172" s="1" t="n">
        <v>13.05</v>
      </c>
      <c r="J172" s="1" t="n">
        <v>199.21</v>
      </c>
      <c r="K172" s="1" t="n">
        <f aca="false">IFERROR(F172/D172,"")</f>
        <v>0.399702151869081</v>
      </c>
    </row>
    <row r="173" customFormat="false" ht="12.8" hidden="false" customHeight="false" outlineLevel="0" collapsed="false">
      <c r="A173" s="1" t="n">
        <v>172</v>
      </c>
      <c r="B173" s="1" t="n">
        <v>858344</v>
      </c>
      <c r="C173" s="1" t="n">
        <v>3678</v>
      </c>
      <c r="D173" s="1" t="n">
        <v>5530.25</v>
      </c>
      <c r="E173" s="1" t="n">
        <v>39</v>
      </c>
      <c r="F173" s="1" t="n">
        <v>2402.33</v>
      </c>
      <c r="G173" s="1" t="n">
        <v>0.43</v>
      </c>
      <c r="H173" s="1" t="n">
        <v>1.5</v>
      </c>
      <c r="I173" s="1" t="n">
        <v>6.44</v>
      </c>
      <c r="J173" s="1" t="n">
        <v>141.8</v>
      </c>
      <c r="K173" s="1" t="n">
        <f aca="false">IFERROR(F173/D173,"")</f>
        <v>0.434398083269292</v>
      </c>
    </row>
    <row r="174" customFormat="false" ht="12.8" hidden="false" customHeight="false" outlineLevel="0" collapsed="false">
      <c r="A174" s="1" t="n">
        <v>173</v>
      </c>
      <c r="B174" s="1" t="n">
        <v>4142599</v>
      </c>
      <c r="C174" s="1" t="n">
        <v>13932</v>
      </c>
      <c r="D174" s="1" t="n">
        <v>19814.72</v>
      </c>
      <c r="E174" s="1" t="n">
        <v>144</v>
      </c>
      <c r="F174" s="1" t="n">
        <v>10159.22</v>
      </c>
      <c r="G174" s="1" t="n">
        <v>0.34</v>
      </c>
      <c r="H174" s="1" t="n">
        <v>1.42</v>
      </c>
      <c r="I174" s="1" t="n">
        <v>4.78</v>
      </c>
      <c r="J174" s="1" t="n">
        <v>137.6</v>
      </c>
      <c r="K174" s="1" t="n">
        <f aca="false">IFERROR(F174/D174,"")</f>
        <v>0.512710752410329</v>
      </c>
    </row>
    <row r="175" customFormat="false" ht="12.8" hidden="false" customHeight="false" outlineLevel="0" collapsed="false">
      <c r="A175" s="1" t="n">
        <v>174</v>
      </c>
      <c r="B175" s="1" t="n">
        <v>767363</v>
      </c>
      <c r="C175" s="1" t="n">
        <v>3129</v>
      </c>
      <c r="D175" s="1" t="n">
        <v>0</v>
      </c>
      <c r="E175" s="1" t="n">
        <v>50</v>
      </c>
      <c r="F175" s="1" t="n">
        <v>4052.98</v>
      </c>
      <c r="G175" s="1" t="n">
        <v>0.41</v>
      </c>
      <c r="H175" s="1" t="n">
        <v>0</v>
      </c>
      <c r="I175" s="1" t="n">
        <v>0</v>
      </c>
      <c r="J175" s="1" t="n">
        <v>0</v>
      </c>
      <c r="K175" s="1" t="str">
        <f aca="false">IFERROR(F175/D175,"")</f>
        <v/>
      </c>
    </row>
    <row r="176" customFormat="false" ht="12.8" hidden="false" customHeight="false" outlineLevel="0" collapsed="false">
      <c r="A176" s="1" t="n">
        <v>175</v>
      </c>
      <c r="B176" s="1" t="n">
        <v>187174</v>
      </c>
      <c r="C176" s="1" t="n">
        <v>2429</v>
      </c>
      <c r="D176" s="1" t="n">
        <v>0</v>
      </c>
      <c r="E176" s="1" t="n">
        <v>27</v>
      </c>
      <c r="F176" s="1" t="n">
        <v>1951.15</v>
      </c>
      <c r="G176" s="1" t="n">
        <v>1.3</v>
      </c>
      <c r="H176" s="1" t="n">
        <v>0</v>
      </c>
      <c r="I176" s="1" t="n">
        <v>0</v>
      </c>
      <c r="J176" s="1" t="n">
        <v>0</v>
      </c>
      <c r="K176" s="1" t="str">
        <f aca="false">IFERROR(F176/D176,"")</f>
        <v/>
      </c>
    </row>
    <row r="177" customFormat="false" ht="12.8" hidden="false" customHeight="false" outlineLevel="0" collapsed="false">
      <c r="A177" s="1" t="n">
        <v>176</v>
      </c>
      <c r="B177" s="1" t="n">
        <v>104274</v>
      </c>
      <c r="C177" s="1" t="n">
        <v>1596</v>
      </c>
      <c r="D177" s="1" t="n">
        <v>2344.24</v>
      </c>
      <c r="E177" s="1" t="n">
        <v>10</v>
      </c>
      <c r="F177" s="1" t="n">
        <v>656.89</v>
      </c>
      <c r="G177" s="1" t="n">
        <v>1.53</v>
      </c>
      <c r="H177" s="1" t="n">
        <v>1.47</v>
      </c>
      <c r="I177" s="1" t="n">
        <v>22.48</v>
      </c>
      <c r="J177" s="1" t="n">
        <v>234.42</v>
      </c>
      <c r="K177" s="1" t="n">
        <f aca="false">IFERROR(F177/D177,"")</f>
        <v>0.280214483158721</v>
      </c>
    </row>
    <row r="178" customFormat="false" ht="12.8" hidden="false" customHeight="false" outlineLevel="0" collapsed="false">
      <c r="A178" s="1" t="n">
        <v>177</v>
      </c>
      <c r="B178" s="1" t="n">
        <v>278334</v>
      </c>
      <c r="C178" s="1" t="n">
        <v>1930</v>
      </c>
      <c r="D178" s="1" t="n">
        <v>2779.1</v>
      </c>
      <c r="E178" s="1" t="n">
        <v>17</v>
      </c>
      <c r="F178" s="1" t="n">
        <v>1337.91</v>
      </c>
      <c r="G178" s="1" t="n">
        <v>0.69</v>
      </c>
      <c r="H178" s="1" t="n">
        <v>1.44</v>
      </c>
      <c r="I178" s="1" t="n">
        <v>9.98</v>
      </c>
      <c r="J178" s="1" t="n">
        <v>163.48</v>
      </c>
      <c r="K178" s="1" t="n">
        <f aca="false">IFERROR(F178/D178,"")</f>
        <v>0.481418444820266</v>
      </c>
    </row>
    <row r="179" customFormat="false" ht="12.8" hidden="false" customHeight="false" outlineLevel="0" collapsed="false">
      <c r="A179" s="1" t="n">
        <v>178</v>
      </c>
      <c r="B179" s="1" t="n">
        <v>109297</v>
      </c>
      <c r="C179" s="1" t="n">
        <v>1250</v>
      </c>
      <c r="D179" s="1" t="n">
        <v>1775.95</v>
      </c>
      <c r="E179" s="1" t="n">
        <v>12</v>
      </c>
      <c r="F179" s="1" t="n">
        <v>988.21</v>
      </c>
      <c r="G179" s="1" t="n">
        <v>1.14</v>
      </c>
      <c r="H179" s="1" t="n">
        <v>1.42</v>
      </c>
      <c r="I179" s="1" t="n">
        <v>16.25</v>
      </c>
      <c r="J179" s="1" t="n">
        <v>148</v>
      </c>
      <c r="K179" s="1" t="n">
        <f aca="false">IFERROR(F179/D179,"")</f>
        <v>0.556440215096146</v>
      </c>
    </row>
    <row r="180" customFormat="false" ht="12.8" hidden="false" customHeight="false" outlineLevel="0" collapsed="false">
      <c r="A180" s="1" t="n">
        <v>179</v>
      </c>
      <c r="B180" s="1" t="n">
        <v>76687</v>
      </c>
      <c r="C180" s="1" t="n">
        <v>979</v>
      </c>
      <c r="D180" s="1" t="n">
        <v>1412.74</v>
      </c>
      <c r="E180" s="1" t="n">
        <v>6</v>
      </c>
      <c r="F180" s="1" t="n">
        <v>601.84</v>
      </c>
      <c r="G180" s="1" t="n">
        <v>1.28</v>
      </c>
      <c r="H180" s="1" t="n">
        <v>1.44</v>
      </c>
      <c r="I180" s="1" t="n">
        <v>18.42</v>
      </c>
      <c r="J180" s="1" t="n">
        <v>235.46</v>
      </c>
      <c r="K180" s="1" t="n">
        <f aca="false">IFERROR(F180/D180,"")</f>
        <v>0.426009032093662</v>
      </c>
    </row>
    <row r="181" customFormat="false" ht="12.8" hidden="false" customHeight="false" outlineLevel="0" collapsed="false">
      <c r="A181" s="1" t="n">
        <v>180</v>
      </c>
      <c r="B181" s="1" t="n">
        <v>3302286</v>
      </c>
      <c r="C181" s="1" t="n">
        <v>10623</v>
      </c>
      <c r="D181" s="1" t="n">
        <v>0</v>
      </c>
      <c r="E181" s="1" t="n">
        <v>124</v>
      </c>
      <c r="F181" s="1" t="n">
        <v>8697.26</v>
      </c>
      <c r="G181" s="1" t="n">
        <v>0.32</v>
      </c>
      <c r="H181" s="1" t="n">
        <v>0</v>
      </c>
      <c r="I181" s="1" t="n">
        <v>0</v>
      </c>
      <c r="J181" s="1" t="n">
        <v>0</v>
      </c>
      <c r="K181" s="1" t="str">
        <f aca="false">IFERROR(F181/D181,"")</f>
        <v/>
      </c>
    </row>
    <row r="182" customFormat="false" ht="12.8" hidden="false" customHeight="false" outlineLevel="0" collapsed="false">
      <c r="A182" s="1" t="n">
        <v>181</v>
      </c>
      <c r="B182" s="1" t="n">
        <v>294798</v>
      </c>
      <c r="C182" s="1" t="n">
        <v>1257</v>
      </c>
      <c r="D182" s="1" t="n">
        <v>1792</v>
      </c>
      <c r="E182" s="1" t="n">
        <v>11</v>
      </c>
      <c r="F182" s="1" t="n">
        <v>686.85</v>
      </c>
      <c r="G182" s="1" t="n">
        <v>0.43</v>
      </c>
      <c r="H182" s="1" t="n">
        <v>1.43</v>
      </c>
      <c r="I182" s="1" t="n">
        <v>6.08</v>
      </c>
      <c r="J182" s="1" t="n">
        <v>162.91</v>
      </c>
      <c r="K182" s="1" t="n">
        <f aca="false">IFERROR(F182/D182,"")</f>
        <v>0.383286830357143</v>
      </c>
    </row>
    <row r="183" customFormat="false" ht="12.8" hidden="false" customHeight="false" outlineLevel="0" collapsed="false">
      <c r="A183" s="1" t="n">
        <v>182</v>
      </c>
      <c r="B183" s="1" t="n">
        <v>1045707</v>
      </c>
      <c r="C183" s="1" t="n">
        <v>4173</v>
      </c>
      <c r="D183" s="1" t="n">
        <v>5858.6</v>
      </c>
      <c r="E183" s="1" t="n">
        <v>42</v>
      </c>
      <c r="F183" s="1" t="n">
        <v>3173.58</v>
      </c>
      <c r="G183" s="1" t="n">
        <v>0.4</v>
      </c>
      <c r="H183" s="1" t="n">
        <v>1.4</v>
      </c>
      <c r="I183" s="1" t="n">
        <v>5.6</v>
      </c>
      <c r="J183" s="1" t="n">
        <v>139.49</v>
      </c>
      <c r="K183" s="1" t="n">
        <f aca="false">IFERROR(F183/D183,"")</f>
        <v>0.541695968320076</v>
      </c>
    </row>
    <row r="184" customFormat="false" ht="12.8" hidden="false" customHeight="false" outlineLevel="0" collapsed="false">
      <c r="A184" s="1" t="n">
        <v>183</v>
      </c>
      <c r="B184" s="1" t="n">
        <v>5249</v>
      </c>
      <c r="C184" s="1" t="n">
        <v>162</v>
      </c>
      <c r="D184" s="1" t="n">
        <v>0</v>
      </c>
      <c r="E184" s="1" t="n">
        <v>0</v>
      </c>
      <c r="F184" s="1" t="n">
        <v>0</v>
      </c>
      <c r="G184" s="1" t="n">
        <v>3.09</v>
      </c>
      <c r="H184" s="1" t="n">
        <v>0</v>
      </c>
      <c r="I184" s="1" t="n">
        <v>0</v>
      </c>
      <c r="K184" s="1" t="str">
        <f aca="false">IFERROR(F184/D184,"")</f>
        <v/>
      </c>
    </row>
    <row r="185" customFormat="false" ht="12.8" hidden="false" customHeight="false" outlineLevel="0" collapsed="false">
      <c r="A185" s="1" t="n">
        <v>184</v>
      </c>
      <c r="B185" s="1" t="n">
        <v>5309</v>
      </c>
      <c r="C185" s="1" t="n">
        <v>84</v>
      </c>
      <c r="D185" s="1" t="n">
        <v>150.47</v>
      </c>
      <c r="E185" s="1" t="n">
        <v>0</v>
      </c>
      <c r="F185" s="1" t="n">
        <v>0</v>
      </c>
      <c r="G185" s="1" t="n">
        <v>1.58</v>
      </c>
      <c r="H185" s="1" t="n">
        <v>1.79</v>
      </c>
      <c r="I185" s="1" t="n">
        <v>28.34</v>
      </c>
      <c r="K185" s="1" t="n">
        <f aca="false">IFERROR(F185/D185,"")</f>
        <v>0</v>
      </c>
    </row>
    <row r="186" customFormat="false" ht="12.8" hidden="false" customHeight="false" outlineLevel="0" collapsed="false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K186" s="1" t="str">
        <f aca="false">IFERROR(F186/D186,"")</f>
        <v/>
      </c>
    </row>
    <row r="187" customFormat="false" ht="12.8" hidden="false" customHeight="false" outlineLevel="0" collapsed="false">
      <c r="A187" s="1" t="n">
        <v>186</v>
      </c>
      <c r="B187" s="1" t="n">
        <v>1093879</v>
      </c>
      <c r="C187" s="1" t="n">
        <v>4099</v>
      </c>
      <c r="D187" s="1" t="n">
        <v>6515.65</v>
      </c>
      <c r="E187" s="1" t="n">
        <v>42</v>
      </c>
      <c r="F187" s="1" t="n">
        <v>3046.57</v>
      </c>
      <c r="G187" s="1" t="n">
        <v>0.37</v>
      </c>
      <c r="H187" s="1" t="n">
        <v>1.59</v>
      </c>
      <c r="I187" s="1" t="n">
        <v>5.96</v>
      </c>
      <c r="J187" s="1" t="n">
        <v>155.13</v>
      </c>
      <c r="K187" s="1" t="n">
        <f aca="false">IFERROR(F187/D187,"")</f>
        <v>0.467577294667455</v>
      </c>
    </row>
    <row r="188" customFormat="false" ht="12.8" hidden="false" customHeight="false" outlineLevel="0" collapsed="false">
      <c r="A188" s="1" t="n">
        <v>187</v>
      </c>
      <c r="B188" s="1" t="n">
        <v>98629</v>
      </c>
      <c r="C188" s="1" t="n">
        <v>564</v>
      </c>
      <c r="D188" s="1" t="n">
        <v>794.18</v>
      </c>
      <c r="E188" s="1" t="n">
        <v>6</v>
      </c>
      <c r="F188" s="1" t="n">
        <v>247.93</v>
      </c>
      <c r="G188" s="1" t="n">
        <v>0.57</v>
      </c>
      <c r="H188" s="1" t="n">
        <v>1.41</v>
      </c>
      <c r="I188" s="1" t="n">
        <v>8.05</v>
      </c>
      <c r="J188" s="1" t="n">
        <v>132.36</v>
      </c>
      <c r="K188" s="1" t="n">
        <f aca="false">IFERROR(F188/D188,"")</f>
        <v>0.312183635951548</v>
      </c>
    </row>
    <row r="189" customFormat="false" ht="12.8" hidden="false" customHeight="false" outlineLevel="0" collapsed="false">
      <c r="A189" s="1" t="n">
        <v>188</v>
      </c>
      <c r="B189" s="1" t="n">
        <v>5791</v>
      </c>
      <c r="C189" s="1" t="n">
        <v>81</v>
      </c>
      <c r="D189" s="1" t="n">
        <v>141.38</v>
      </c>
      <c r="E189" s="1" t="n">
        <v>1</v>
      </c>
      <c r="F189" s="1" t="n">
        <v>31.64</v>
      </c>
      <c r="G189" s="1" t="n">
        <v>1.4</v>
      </c>
      <c r="H189" s="1" t="n">
        <v>1.75</v>
      </c>
      <c r="I189" s="1" t="n">
        <v>24.41</v>
      </c>
      <c r="J189" s="1" t="n">
        <v>141.38</v>
      </c>
      <c r="K189" s="1" t="n">
        <f aca="false">IFERROR(F189/D189,"")</f>
        <v>0.223794030273023</v>
      </c>
    </row>
    <row r="190" customFormat="false" ht="12.8" hidden="false" customHeight="false" outlineLevel="0" collapsed="false">
      <c r="A190" s="1" t="n">
        <v>189</v>
      </c>
      <c r="B190" s="1" t="n">
        <v>16320</v>
      </c>
      <c r="C190" s="1" t="n">
        <v>292</v>
      </c>
      <c r="D190" s="1" t="n">
        <v>403.69</v>
      </c>
      <c r="E190" s="1" t="n">
        <v>0</v>
      </c>
      <c r="F190" s="1" t="n">
        <v>0</v>
      </c>
      <c r="G190" s="1" t="n">
        <v>1.79</v>
      </c>
      <c r="H190" s="1" t="n">
        <v>1.38</v>
      </c>
      <c r="I190" s="1" t="n">
        <v>24.74</v>
      </c>
      <c r="K190" s="1" t="n">
        <f aca="false">IFERROR(F190/D190,"")</f>
        <v>0</v>
      </c>
    </row>
    <row r="191" customFormat="false" ht="12.8" hidden="false" customHeight="false" outlineLevel="0" collapsed="false">
      <c r="A191" s="1" t="n">
        <v>190</v>
      </c>
      <c r="B191" s="1" t="n">
        <v>71847</v>
      </c>
      <c r="C191" s="1" t="n">
        <v>1261</v>
      </c>
      <c r="D191" s="1" t="n">
        <v>0</v>
      </c>
      <c r="E191" s="1" t="n">
        <v>8</v>
      </c>
      <c r="F191" s="1" t="n">
        <v>527.66</v>
      </c>
      <c r="G191" s="1" t="n">
        <v>1.76</v>
      </c>
      <c r="H191" s="1" t="n">
        <v>0</v>
      </c>
      <c r="I191" s="1" t="n">
        <v>0</v>
      </c>
      <c r="J191" s="1" t="n">
        <v>0</v>
      </c>
      <c r="K191" s="1" t="str">
        <f aca="false">IFERROR(F191/D191,"")</f>
        <v/>
      </c>
    </row>
    <row r="192" customFormat="false" ht="12.8" hidden="false" customHeight="false" outlineLevel="0" collapsed="false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K192" s="1" t="str">
        <f aca="false">IFERROR(F192/D192,"")</f>
        <v/>
      </c>
    </row>
    <row r="193" customFormat="false" ht="12.8" hidden="false" customHeight="false" outlineLevel="0" collapsed="false">
      <c r="A193" s="1" t="n">
        <v>192</v>
      </c>
      <c r="B193" s="1" t="n">
        <v>39805</v>
      </c>
      <c r="C193" s="1" t="n">
        <v>338</v>
      </c>
      <c r="D193" s="1" t="n">
        <v>0</v>
      </c>
      <c r="E193" s="1" t="n">
        <v>1</v>
      </c>
      <c r="F193" s="1" t="n">
        <v>37.26</v>
      </c>
      <c r="G193" s="1" t="n">
        <v>0.85</v>
      </c>
      <c r="H193" s="1" t="n">
        <v>0</v>
      </c>
      <c r="I193" s="1" t="n">
        <v>0</v>
      </c>
      <c r="J193" s="1" t="n">
        <v>0</v>
      </c>
      <c r="K193" s="1" t="str">
        <f aca="false">IFERROR(F193/D193,"")</f>
        <v/>
      </c>
    </row>
    <row r="194" customFormat="false" ht="12.8" hidden="false" customHeight="false" outlineLevel="0" collapsed="false">
      <c r="A194" s="1" t="n">
        <v>193</v>
      </c>
      <c r="B194" s="1" t="n">
        <v>567731</v>
      </c>
      <c r="C194" s="1" t="n">
        <v>2024</v>
      </c>
      <c r="D194" s="1" t="n">
        <v>0</v>
      </c>
      <c r="E194" s="1" t="n">
        <v>26</v>
      </c>
      <c r="F194" s="1" t="n">
        <v>1640.08</v>
      </c>
      <c r="G194" s="1" t="n">
        <v>0.36</v>
      </c>
      <c r="H194" s="1" t="n">
        <v>0</v>
      </c>
      <c r="I194" s="1" t="n">
        <v>0</v>
      </c>
      <c r="J194" s="1" t="n">
        <v>0</v>
      </c>
      <c r="K194" s="1" t="str">
        <f aca="false">IFERROR(F194/D194,"")</f>
        <v/>
      </c>
    </row>
    <row r="195" customFormat="false" ht="12.8" hidden="false" customHeight="false" outlineLevel="0" collapsed="false">
      <c r="A195" s="1" t="n">
        <v>194</v>
      </c>
      <c r="B195" s="1" t="n">
        <v>9229127</v>
      </c>
      <c r="C195" s="1" t="n">
        <v>19821</v>
      </c>
      <c r="D195" s="1" t="n">
        <v>0</v>
      </c>
      <c r="E195" s="1" t="n">
        <v>287</v>
      </c>
      <c r="F195" s="1" t="n">
        <v>24593.15</v>
      </c>
      <c r="G195" s="1" t="n">
        <v>0.21</v>
      </c>
      <c r="H195" s="1" t="n">
        <v>0</v>
      </c>
      <c r="I195" s="1" t="n">
        <v>0</v>
      </c>
      <c r="J195" s="1" t="n">
        <v>0</v>
      </c>
      <c r="K195" s="1" t="str">
        <f aca="false">IFERROR(F195/D195,"")</f>
        <v/>
      </c>
    </row>
    <row r="196" customFormat="false" ht="12.8" hidden="false" customHeight="false" outlineLevel="0" collapsed="false">
      <c r="A196" s="1" t="n">
        <v>195</v>
      </c>
      <c r="B196" s="1" t="n">
        <v>74974</v>
      </c>
      <c r="C196" s="1" t="n">
        <v>1038</v>
      </c>
      <c r="D196" s="1" t="n">
        <v>1540.06</v>
      </c>
      <c r="E196" s="1" t="n">
        <v>6</v>
      </c>
      <c r="F196" s="1" t="n">
        <v>454.64</v>
      </c>
      <c r="G196" s="1" t="n">
        <v>1.38</v>
      </c>
      <c r="H196" s="1" t="n">
        <v>1.48</v>
      </c>
      <c r="I196" s="1" t="n">
        <v>20.54</v>
      </c>
      <c r="J196" s="1" t="n">
        <v>256.68</v>
      </c>
      <c r="K196" s="1" t="n">
        <f aca="false">IFERROR(F196/D196,"")</f>
        <v>0.295209277560615</v>
      </c>
    </row>
    <row r="197" customFormat="false" ht="12.8" hidden="false" customHeight="false" outlineLevel="0" collapsed="false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K197" s="1" t="str">
        <f aca="false">IFERROR(F197/D197,"")</f>
        <v/>
      </c>
    </row>
    <row r="198" customFormat="false" ht="12.8" hidden="false" customHeight="false" outlineLevel="0" collapsed="false">
      <c r="A198" s="1" t="n">
        <v>197</v>
      </c>
      <c r="B198" s="1" t="n">
        <v>141446</v>
      </c>
      <c r="C198" s="1" t="n">
        <v>748</v>
      </c>
      <c r="D198" s="1" t="n">
        <v>1017.78</v>
      </c>
      <c r="E198" s="1" t="n">
        <v>7</v>
      </c>
      <c r="F198" s="1" t="n">
        <v>327.24</v>
      </c>
      <c r="G198" s="1" t="n">
        <v>0.53</v>
      </c>
      <c r="H198" s="1" t="n">
        <v>1.36</v>
      </c>
      <c r="I198" s="1" t="n">
        <v>7.2</v>
      </c>
      <c r="J198" s="1" t="n">
        <v>145.4</v>
      </c>
      <c r="K198" s="1" t="n">
        <f aca="false">IFERROR(F198/D198,"")</f>
        <v>0.321523315451276</v>
      </c>
    </row>
    <row r="199" customFormat="false" ht="12.8" hidden="false" customHeight="false" outlineLevel="0" collapsed="false">
      <c r="A199" s="1" t="n">
        <v>198</v>
      </c>
      <c r="B199" s="1" t="n">
        <v>19282</v>
      </c>
      <c r="C199" s="1" t="n">
        <v>177</v>
      </c>
      <c r="D199" s="1" t="n">
        <v>219.32</v>
      </c>
      <c r="E199" s="1" t="n">
        <v>4</v>
      </c>
      <c r="F199" s="1" t="n">
        <v>709.54</v>
      </c>
      <c r="G199" s="1" t="n">
        <v>0.92</v>
      </c>
      <c r="H199" s="1" t="n">
        <v>1.24</v>
      </c>
      <c r="I199" s="1" t="n">
        <v>11.37</v>
      </c>
      <c r="J199" s="1" t="n">
        <v>54.83</v>
      </c>
      <c r="K199" s="1" t="n">
        <f aca="false">IFERROR(F199/D199,"")</f>
        <v>3.23518146999818</v>
      </c>
    </row>
    <row r="200" customFormat="false" ht="12.8" hidden="false" customHeight="false" outlineLevel="0" collapsed="false">
      <c r="A200" s="1" t="n">
        <v>199</v>
      </c>
      <c r="B200" s="1" t="n">
        <v>547066</v>
      </c>
      <c r="C200" s="1" t="n">
        <v>4784</v>
      </c>
      <c r="D200" s="1" t="n">
        <v>6761.28</v>
      </c>
      <c r="E200" s="1" t="n">
        <v>54</v>
      </c>
      <c r="F200" s="1" t="n">
        <v>3632.55</v>
      </c>
      <c r="G200" s="1" t="n">
        <v>0.87</v>
      </c>
      <c r="H200" s="1" t="n">
        <v>1.41</v>
      </c>
      <c r="I200" s="1" t="n">
        <v>12.36</v>
      </c>
      <c r="J200" s="1" t="n">
        <v>125.21</v>
      </c>
      <c r="K200" s="1" t="n">
        <f aca="false">IFERROR(F200/D200,"")</f>
        <v>0.537257738179753</v>
      </c>
    </row>
    <row r="201" customFormat="false" ht="12.8" hidden="false" customHeight="false" outlineLevel="0" collapsed="false">
      <c r="A201" s="1" t="n">
        <v>200</v>
      </c>
      <c r="B201" s="1" t="n">
        <v>827300</v>
      </c>
      <c r="C201" s="1" t="n">
        <v>2813</v>
      </c>
      <c r="D201" s="1" t="n">
        <v>0</v>
      </c>
      <c r="E201" s="1" t="n">
        <v>42</v>
      </c>
      <c r="F201" s="1" t="n">
        <v>3444.78</v>
      </c>
      <c r="G201" s="1" t="n">
        <v>0.34</v>
      </c>
      <c r="H201" s="1" t="n">
        <v>0</v>
      </c>
      <c r="I201" s="1" t="n">
        <v>0</v>
      </c>
      <c r="J201" s="1" t="n">
        <v>0</v>
      </c>
      <c r="K201" s="1" t="str">
        <f aca="false">IFERROR(F201/D201,"")</f>
        <v/>
      </c>
    </row>
    <row r="202" customFormat="false" ht="12.8" hidden="false" customHeight="false" outlineLevel="0" collapsed="false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K202" s="1" t="str">
        <f aca="false">IFERROR(F202/D202,"")</f>
        <v/>
      </c>
    </row>
    <row r="203" customFormat="false" ht="12.8" hidden="false" customHeight="false" outlineLevel="0" collapsed="false">
      <c r="A203" s="1" t="n">
        <v>202</v>
      </c>
      <c r="B203" s="1" t="n">
        <v>121609</v>
      </c>
      <c r="C203" s="1" t="n">
        <v>1085</v>
      </c>
      <c r="D203" s="1" t="n">
        <v>1619.47</v>
      </c>
      <c r="E203" s="1" t="n">
        <v>13</v>
      </c>
      <c r="F203" s="1" t="n">
        <v>1220.62</v>
      </c>
      <c r="G203" s="1" t="n">
        <v>0.89</v>
      </c>
      <c r="H203" s="1" t="n">
        <v>1.49</v>
      </c>
      <c r="I203" s="1" t="n">
        <v>13.32</v>
      </c>
      <c r="J203" s="1" t="n">
        <v>124.57</v>
      </c>
      <c r="K203" s="1" t="n">
        <f aca="false">IFERROR(F203/D203,"")</f>
        <v>0.753715721810222</v>
      </c>
    </row>
    <row r="204" customFormat="false" ht="12.8" hidden="false" customHeight="false" outlineLevel="0" collapsed="false">
      <c r="A204" s="1" t="n">
        <v>203</v>
      </c>
      <c r="B204" s="1" t="n">
        <v>66294</v>
      </c>
      <c r="C204" s="1" t="n">
        <v>787</v>
      </c>
      <c r="D204" s="1" t="n">
        <v>1057.58</v>
      </c>
      <c r="E204" s="1" t="n">
        <v>4</v>
      </c>
      <c r="F204" s="1" t="n">
        <v>263.39</v>
      </c>
      <c r="G204" s="1" t="n">
        <v>1.19</v>
      </c>
      <c r="H204" s="1" t="n">
        <v>1.34</v>
      </c>
      <c r="I204" s="1" t="n">
        <v>15.95</v>
      </c>
      <c r="J204" s="1" t="n">
        <v>264.4</v>
      </c>
      <c r="K204" s="1" t="n">
        <f aca="false">IFERROR(F204/D204,"")</f>
        <v>0.249049717279071</v>
      </c>
    </row>
    <row r="205" customFormat="false" ht="12.8" hidden="false" customHeight="false" outlineLevel="0" collapsed="false">
      <c r="A205" s="1" t="n">
        <v>204</v>
      </c>
      <c r="B205" s="1" t="n">
        <v>34171</v>
      </c>
      <c r="C205" s="1" t="n">
        <v>590</v>
      </c>
      <c r="D205" s="1" t="n">
        <v>911.34</v>
      </c>
      <c r="E205" s="1" t="n">
        <v>4</v>
      </c>
      <c r="F205" s="1" t="n">
        <v>160.29</v>
      </c>
      <c r="G205" s="1" t="n">
        <v>1.73</v>
      </c>
      <c r="H205" s="1" t="n">
        <v>1.54</v>
      </c>
      <c r="I205" s="1" t="n">
        <v>26.67</v>
      </c>
      <c r="J205" s="1" t="n">
        <v>227.84</v>
      </c>
      <c r="K205" s="1" t="n">
        <f aca="false">IFERROR(F205/D205,"")</f>
        <v>0.175883863322141</v>
      </c>
    </row>
    <row r="206" customFormat="false" ht="12.8" hidden="false" customHeight="false" outlineLevel="0" collapsed="false">
      <c r="A206" s="1" t="n">
        <v>205</v>
      </c>
      <c r="B206" s="1" t="n">
        <v>3394650</v>
      </c>
      <c r="C206" s="1" t="n">
        <v>10456</v>
      </c>
      <c r="D206" s="1" t="n">
        <v>16087.88</v>
      </c>
      <c r="E206" s="1" t="n">
        <v>132</v>
      </c>
      <c r="F206" s="1" t="n">
        <v>8555.7</v>
      </c>
      <c r="G206" s="1" t="n">
        <v>0.31</v>
      </c>
      <c r="H206" s="1" t="n">
        <v>1.54</v>
      </c>
      <c r="I206" s="1" t="n">
        <v>4.74</v>
      </c>
      <c r="J206" s="1" t="n">
        <v>121.88</v>
      </c>
      <c r="K206" s="1" t="n">
        <f aca="false">IFERROR(F206/D206,"")</f>
        <v>0.531810282025973</v>
      </c>
    </row>
    <row r="207" customFormat="false" ht="12.8" hidden="false" customHeight="false" outlineLevel="0" collapsed="false">
      <c r="A207" s="1" t="n">
        <v>206</v>
      </c>
      <c r="B207" s="1" t="n">
        <v>5404</v>
      </c>
      <c r="C207" s="1" t="n">
        <v>115</v>
      </c>
      <c r="D207" s="1" t="n">
        <v>151.94</v>
      </c>
      <c r="E207" s="1" t="n">
        <v>0</v>
      </c>
      <c r="F207" s="1" t="n">
        <v>0</v>
      </c>
      <c r="G207" s="1" t="n">
        <v>2.13</v>
      </c>
      <c r="H207" s="1" t="n">
        <v>1.32</v>
      </c>
      <c r="I207" s="1" t="n">
        <v>28.12</v>
      </c>
      <c r="K207" s="1" t="n">
        <f aca="false">IFERROR(F207/D207,"")</f>
        <v>0</v>
      </c>
    </row>
    <row r="208" customFormat="false" ht="12.8" hidden="false" customHeight="false" outlineLevel="0" collapsed="false">
      <c r="A208" s="1" t="n">
        <v>207</v>
      </c>
      <c r="B208" s="1" t="n">
        <v>15394</v>
      </c>
      <c r="C208" s="1" t="n">
        <v>449</v>
      </c>
      <c r="D208" s="1" t="n">
        <v>615.15</v>
      </c>
      <c r="E208" s="1" t="n">
        <v>1</v>
      </c>
      <c r="F208" s="1" t="n">
        <v>88.39</v>
      </c>
      <c r="G208" s="1" t="n">
        <v>2.92</v>
      </c>
      <c r="H208" s="1" t="n">
        <v>1.37</v>
      </c>
      <c r="I208" s="1" t="n">
        <v>39.96</v>
      </c>
      <c r="J208" s="1" t="n">
        <v>615.15</v>
      </c>
      <c r="K208" s="1" t="n">
        <f aca="false">IFERROR(F208/D208,"")</f>
        <v>0.14368853125254</v>
      </c>
    </row>
    <row r="209" customFormat="false" ht="12.8" hidden="false" customHeight="false" outlineLevel="0" collapsed="false">
      <c r="A209" s="1" t="n">
        <v>208</v>
      </c>
      <c r="B209" s="1" t="n">
        <v>380754</v>
      </c>
      <c r="C209" s="1" t="n">
        <v>2133</v>
      </c>
      <c r="D209" s="1" t="n">
        <v>3202.09</v>
      </c>
      <c r="E209" s="1" t="n">
        <v>26</v>
      </c>
      <c r="F209" s="1" t="n">
        <v>1993.61</v>
      </c>
      <c r="G209" s="1" t="n">
        <v>0.56</v>
      </c>
      <c r="H209" s="1" t="n">
        <v>1.5</v>
      </c>
      <c r="I209" s="1" t="n">
        <v>8.41</v>
      </c>
      <c r="J209" s="1" t="n">
        <v>123.16</v>
      </c>
      <c r="K209" s="1" t="n">
        <f aca="false">IFERROR(F209/D209,"")</f>
        <v>0.62259649166638</v>
      </c>
    </row>
    <row r="210" customFormat="false" ht="12.8" hidden="false" customHeight="false" outlineLevel="0" collapsed="false">
      <c r="A210" s="1" t="n">
        <v>209</v>
      </c>
      <c r="B210" s="1" t="n">
        <v>543397</v>
      </c>
      <c r="C210" s="1" t="n">
        <v>4371</v>
      </c>
      <c r="D210" s="1" t="n">
        <v>0</v>
      </c>
      <c r="E210" s="1" t="n">
        <v>37</v>
      </c>
      <c r="F210" s="1" t="n">
        <v>2583.78</v>
      </c>
      <c r="G210" s="1" t="n">
        <v>0.8</v>
      </c>
      <c r="H210" s="1" t="n">
        <v>0</v>
      </c>
      <c r="I210" s="1" t="n">
        <v>0</v>
      </c>
      <c r="J210" s="1" t="n">
        <v>0</v>
      </c>
      <c r="K210" s="1" t="str">
        <f aca="false">IFERROR(F210/D210,"")</f>
        <v/>
      </c>
    </row>
    <row r="211" customFormat="false" ht="12.8" hidden="false" customHeight="false" outlineLevel="0" collapsed="false">
      <c r="A211" s="1" t="n">
        <v>210</v>
      </c>
      <c r="B211" s="1" t="n">
        <v>266303</v>
      </c>
      <c r="C211" s="1" t="n">
        <v>3106</v>
      </c>
      <c r="D211" s="1" t="n">
        <v>0</v>
      </c>
      <c r="E211" s="1" t="n">
        <v>17</v>
      </c>
      <c r="F211" s="1" t="n">
        <v>944.15</v>
      </c>
      <c r="G211" s="1" t="n">
        <v>1.17</v>
      </c>
      <c r="H211" s="1" t="n">
        <v>0</v>
      </c>
      <c r="I211" s="1" t="n">
        <v>0</v>
      </c>
      <c r="J211" s="1" t="n">
        <v>0</v>
      </c>
      <c r="K211" s="1" t="str">
        <f aca="false">IFERROR(F211/D211,"")</f>
        <v/>
      </c>
    </row>
    <row r="212" customFormat="false" ht="12.8" hidden="false" customHeight="false" outlineLevel="0" collapsed="false">
      <c r="A212" s="1" t="n">
        <v>211</v>
      </c>
      <c r="B212" s="1" t="n">
        <v>214156</v>
      </c>
      <c r="C212" s="1" t="n">
        <v>1321</v>
      </c>
      <c r="D212" s="1" t="n">
        <v>1975.17</v>
      </c>
      <c r="E212" s="1" t="n">
        <v>15</v>
      </c>
      <c r="F212" s="1" t="n">
        <v>897.3</v>
      </c>
      <c r="G212" s="1" t="n">
        <v>0.62</v>
      </c>
      <c r="H212" s="1" t="n">
        <v>1.5</v>
      </c>
      <c r="I212" s="1" t="n">
        <v>9.22</v>
      </c>
      <c r="J212" s="1" t="n">
        <v>131.68</v>
      </c>
      <c r="K212" s="1" t="n">
        <f aca="false">IFERROR(F212/D212,"")</f>
        <v>0.454290010480111</v>
      </c>
    </row>
    <row r="213" customFormat="false" ht="12.8" hidden="false" customHeight="false" outlineLevel="0" collapsed="false">
      <c r="A213" s="1" t="n">
        <v>212</v>
      </c>
      <c r="B213" s="1" t="n">
        <v>3856</v>
      </c>
      <c r="C213" s="1" t="n">
        <v>148</v>
      </c>
      <c r="D213" s="1" t="n">
        <v>0</v>
      </c>
      <c r="E213" s="1" t="n">
        <v>0</v>
      </c>
      <c r="F213" s="1" t="n">
        <v>0</v>
      </c>
      <c r="G213" s="1" t="n">
        <v>3.84</v>
      </c>
      <c r="H213" s="1" t="n">
        <v>0</v>
      </c>
      <c r="I213" s="1" t="n">
        <v>0</v>
      </c>
      <c r="K213" s="1" t="str">
        <f aca="false">IFERROR(F213/D213,"")</f>
        <v/>
      </c>
    </row>
    <row r="214" customFormat="false" ht="12.8" hidden="false" customHeight="false" outlineLevel="0" collapsed="false">
      <c r="A214" s="1" t="n">
        <v>213</v>
      </c>
      <c r="B214" s="1" t="n">
        <v>264217</v>
      </c>
      <c r="C214" s="1" t="n">
        <v>1133</v>
      </c>
      <c r="D214" s="1" t="n">
        <v>0</v>
      </c>
      <c r="E214" s="1" t="n">
        <v>13</v>
      </c>
      <c r="F214" s="1" t="n">
        <v>1006.8</v>
      </c>
      <c r="G214" s="1" t="n">
        <v>0.43</v>
      </c>
      <c r="H214" s="1" t="n">
        <v>0</v>
      </c>
      <c r="I214" s="1" t="n">
        <v>0</v>
      </c>
      <c r="J214" s="1" t="n">
        <v>0</v>
      </c>
      <c r="K214" s="1" t="str">
        <f aca="false">IFERROR(F214/D214,"")</f>
        <v/>
      </c>
    </row>
    <row r="215" customFormat="false" ht="12.8" hidden="false" customHeight="false" outlineLevel="0" collapsed="false">
      <c r="A215" s="1" t="n">
        <v>214</v>
      </c>
      <c r="B215" s="1" t="n">
        <v>443744</v>
      </c>
      <c r="C215" s="1" t="n">
        <v>2547</v>
      </c>
      <c r="D215" s="1" t="n">
        <v>3568.62</v>
      </c>
      <c r="E215" s="1" t="n">
        <v>29</v>
      </c>
      <c r="F215" s="1" t="n">
        <v>2272.43</v>
      </c>
      <c r="G215" s="1" t="n">
        <v>0.57</v>
      </c>
      <c r="H215" s="1" t="n">
        <v>1.4</v>
      </c>
      <c r="I215" s="1" t="n">
        <v>8.04</v>
      </c>
      <c r="J215" s="1" t="n">
        <v>123.06</v>
      </c>
      <c r="K215" s="1" t="n">
        <f aca="false">IFERROR(F215/D215,"")</f>
        <v>0.636781164707926</v>
      </c>
    </row>
    <row r="216" customFormat="false" ht="12.8" hidden="false" customHeight="false" outlineLevel="0" collapsed="false">
      <c r="A216" s="1" t="n">
        <v>215</v>
      </c>
      <c r="B216" s="1" t="n">
        <v>932156</v>
      </c>
      <c r="C216" s="1" t="n">
        <v>2964</v>
      </c>
      <c r="D216" s="1" t="n">
        <v>0</v>
      </c>
      <c r="E216" s="1" t="n">
        <v>45</v>
      </c>
      <c r="F216" s="1" t="n">
        <v>3729.84</v>
      </c>
      <c r="G216" s="1" t="n">
        <v>0.32</v>
      </c>
      <c r="H216" s="1" t="n">
        <v>0</v>
      </c>
      <c r="I216" s="1" t="n">
        <v>0</v>
      </c>
      <c r="J216" s="1" t="n">
        <v>0</v>
      </c>
      <c r="K216" s="1" t="str">
        <f aca="false">IFERROR(F216/D216,"")</f>
        <v/>
      </c>
    </row>
    <row r="217" customFormat="false" ht="12.8" hidden="false" customHeight="false" outlineLevel="0" collapsed="false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K217" s="1" t="str">
        <f aca="false">IFERROR(F217/D217,"")</f>
        <v/>
      </c>
    </row>
    <row r="218" customFormat="false" ht="12.8" hidden="false" customHeight="false" outlineLevel="0" collapsed="false">
      <c r="A218" s="1" t="n">
        <v>217</v>
      </c>
      <c r="B218" s="1" t="n">
        <v>80689</v>
      </c>
      <c r="C218" s="1" t="n">
        <v>594</v>
      </c>
      <c r="D218" s="1" t="n">
        <v>870.56</v>
      </c>
      <c r="E218" s="1" t="n">
        <v>7</v>
      </c>
      <c r="F218" s="1" t="n">
        <v>429.72</v>
      </c>
      <c r="G218" s="1" t="n">
        <v>0.74</v>
      </c>
      <c r="H218" s="1" t="n">
        <v>1.47</v>
      </c>
      <c r="I218" s="1" t="n">
        <v>10.79</v>
      </c>
      <c r="J218" s="1" t="n">
        <v>124.37</v>
      </c>
      <c r="K218" s="1" t="n">
        <f aca="false">IFERROR(F218/D218,"")</f>
        <v>0.493613306377504</v>
      </c>
    </row>
    <row r="219" customFormat="false" ht="12.8" hidden="false" customHeight="false" outlineLevel="0" collapsed="false">
      <c r="A219" s="1" t="n">
        <v>218</v>
      </c>
      <c r="B219" s="1" t="n">
        <v>52257</v>
      </c>
      <c r="C219" s="1" t="n">
        <v>871</v>
      </c>
      <c r="D219" s="1" t="n">
        <v>1180.22</v>
      </c>
      <c r="E219" s="1" t="n">
        <v>5</v>
      </c>
      <c r="F219" s="1" t="n">
        <v>351.01</v>
      </c>
      <c r="G219" s="1" t="n">
        <v>1.67</v>
      </c>
      <c r="H219" s="1" t="n">
        <v>1.36</v>
      </c>
      <c r="I219" s="1" t="n">
        <v>22.58</v>
      </c>
      <c r="J219" s="1" t="n">
        <v>236.04</v>
      </c>
      <c r="K219" s="1" t="n">
        <f aca="false">IFERROR(F219/D219,"")</f>
        <v>0.297410652251275</v>
      </c>
    </row>
    <row r="220" customFormat="false" ht="12.8" hidden="false" customHeight="false" outlineLevel="0" collapsed="false">
      <c r="A220" s="1" t="n">
        <v>219</v>
      </c>
      <c r="B220" s="1" t="n">
        <v>179334</v>
      </c>
      <c r="C220" s="1" t="n">
        <v>1816</v>
      </c>
      <c r="D220" s="1" t="n">
        <v>2803.88</v>
      </c>
      <c r="E220" s="1" t="n">
        <v>15</v>
      </c>
      <c r="F220" s="1" t="n">
        <v>993.27</v>
      </c>
      <c r="G220" s="1" t="n">
        <v>1.01</v>
      </c>
      <c r="H220" s="1" t="n">
        <v>1.54</v>
      </c>
      <c r="I220" s="1" t="n">
        <v>15.63</v>
      </c>
      <c r="J220" s="1" t="n">
        <v>186.93</v>
      </c>
      <c r="K220" s="1" t="n">
        <f aca="false">IFERROR(F220/D220,"")</f>
        <v>0.354248398647588</v>
      </c>
    </row>
    <row r="221" customFormat="false" ht="12.8" hidden="false" customHeight="false" outlineLevel="0" collapsed="false">
      <c r="A221" s="1" t="n">
        <v>220</v>
      </c>
      <c r="B221" s="1" t="n">
        <v>267461</v>
      </c>
      <c r="C221" s="1" t="n">
        <v>1680</v>
      </c>
      <c r="D221" s="1" t="n">
        <v>2467.26</v>
      </c>
      <c r="E221" s="1" t="n">
        <v>14</v>
      </c>
      <c r="F221" s="1" t="n">
        <v>1469.79</v>
      </c>
      <c r="G221" s="1" t="n">
        <v>0.63</v>
      </c>
      <c r="H221" s="1" t="n">
        <v>1.47</v>
      </c>
      <c r="I221" s="1" t="n">
        <v>9.22</v>
      </c>
      <c r="J221" s="1" t="n">
        <v>176.23</v>
      </c>
      <c r="K221" s="1" t="n">
        <f aca="false">IFERROR(F221/D221,"")</f>
        <v>0.595717516597359</v>
      </c>
    </row>
    <row r="222" customFormat="false" ht="12.8" hidden="false" customHeight="false" outlineLevel="0" collapsed="false">
      <c r="A222" s="1" t="n">
        <v>221</v>
      </c>
      <c r="B222" s="1" t="n">
        <v>392392</v>
      </c>
      <c r="C222" s="1" t="n">
        <v>2458</v>
      </c>
      <c r="D222" s="1" t="n">
        <v>3334.48</v>
      </c>
      <c r="E222" s="1" t="n">
        <v>29</v>
      </c>
      <c r="F222" s="1" t="n">
        <v>2452.85</v>
      </c>
      <c r="G222" s="1" t="n">
        <v>0.63</v>
      </c>
      <c r="H222" s="1" t="n">
        <v>1.36</v>
      </c>
      <c r="I222" s="1" t="n">
        <v>8.5</v>
      </c>
      <c r="J222" s="1" t="n">
        <v>114.98</v>
      </c>
      <c r="K222" s="1" t="n">
        <f aca="false">IFERROR(F222/D222,"")</f>
        <v>0.735601952928193</v>
      </c>
    </row>
    <row r="223" customFormat="false" ht="12.8" hidden="false" customHeight="false" outlineLevel="0" collapsed="false">
      <c r="A223" s="1" t="n">
        <v>222</v>
      </c>
      <c r="B223" s="1" t="n">
        <v>84484</v>
      </c>
      <c r="C223" s="1" t="n">
        <v>971</v>
      </c>
      <c r="D223" s="1" t="n">
        <v>0</v>
      </c>
      <c r="E223" s="1" t="n">
        <v>9</v>
      </c>
      <c r="F223" s="1" t="n">
        <v>646.85</v>
      </c>
      <c r="G223" s="1" t="n">
        <v>1.15</v>
      </c>
      <c r="H223" s="1" t="n">
        <v>0</v>
      </c>
      <c r="I223" s="1" t="n">
        <v>0</v>
      </c>
      <c r="J223" s="1" t="n">
        <v>0</v>
      </c>
      <c r="K223" s="1" t="str">
        <f aca="false">IFERROR(F223/D223,"")</f>
        <v/>
      </c>
    </row>
    <row r="224" customFormat="false" ht="12.8" hidden="false" customHeight="false" outlineLevel="0" collapsed="false">
      <c r="A224" s="1" t="n">
        <v>223</v>
      </c>
      <c r="B224" s="1" t="n">
        <v>69997</v>
      </c>
      <c r="C224" s="1" t="n">
        <v>1173</v>
      </c>
      <c r="D224" s="1" t="n">
        <v>1763</v>
      </c>
      <c r="E224" s="1" t="n">
        <v>1</v>
      </c>
      <c r="F224" s="1" t="n">
        <v>102.85</v>
      </c>
      <c r="G224" s="1" t="n">
        <v>1.68</v>
      </c>
      <c r="H224" s="1" t="n">
        <v>1.5</v>
      </c>
      <c r="I224" s="1" t="n">
        <v>25.19</v>
      </c>
      <c r="J224" s="1" t="n">
        <v>1763</v>
      </c>
      <c r="K224" s="1" t="n">
        <f aca="false">IFERROR(F224/D224,"")</f>
        <v>0.0583380601247873</v>
      </c>
    </row>
    <row r="225" customFormat="false" ht="12.8" hidden="false" customHeight="false" outlineLevel="0" collapsed="false">
      <c r="A225" s="1" t="n">
        <v>224</v>
      </c>
      <c r="B225" s="1" t="n">
        <v>1452957</v>
      </c>
      <c r="C225" s="1" t="n">
        <v>6316</v>
      </c>
      <c r="D225" s="1" t="n">
        <v>8575.73</v>
      </c>
      <c r="E225" s="1" t="n">
        <v>71</v>
      </c>
      <c r="F225" s="1" t="n">
        <v>6249.41</v>
      </c>
      <c r="G225" s="1" t="n">
        <v>0.43</v>
      </c>
      <c r="H225" s="1" t="n">
        <v>1.36</v>
      </c>
      <c r="I225" s="1" t="n">
        <v>5.9</v>
      </c>
      <c r="J225" s="1" t="n">
        <v>120.78</v>
      </c>
      <c r="K225" s="1" t="n">
        <f aca="false">IFERROR(F225/D225,"")</f>
        <v>0.728732131258797</v>
      </c>
    </row>
    <row r="226" customFormat="false" ht="12.8" hidden="false" customHeight="false" outlineLevel="0" collapsed="false">
      <c r="A226" s="1" t="n">
        <v>225</v>
      </c>
      <c r="B226" s="1" t="n">
        <v>400723</v>
      </c>
      <c r="C226" s="1" t="n">
        <v>2450</v>
      </c>
      <c r="D226" s="1" t="n">
        <v>3402.48</v>
      </c>
      <c r="E226" s="1" t="n">
        <v>21</v>
      </c>
      <c r="F226" s="1" t="n">
        <v>1640.64</v>
      </c>
      <c r="G226" s="1" t="n">
        <v>0.61</v>
      </c>
      <c r="H226" s="1" t="n">
        <v>1.39</v>
      </c>
      <c r="I226" s="1" t="n">
        <v>8.49</v>
      </c>
      <c r="J226" s="1" t="n">
        <v>162.02</v>
      </c>
      <c r="K226" s="1" t="n">
        <f aca="false">IFERROR(F226/D226,"")</f>
        <v>0.482189461804331</v>
      </c>
    </row>
    <row r="227" customFormat="false" ht="12.8" hidden="false" customHeight="false" outlineLevel="0" collapsed="false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K227" s="1" t="str">
        <f aca="false">IFERROR(F227/D227,"")</f>
        <v/>
      </c>
    </row>
    <row r="228" customFormat="false" ht="12.8" hidden="false" customHeight="false" outlineLevel="0" collapsed="false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K228" s="1" t="str">
        <f aca="false">IFERROR(F228/D228,"")</f>
        <v/>
      </c>
    </row>
    <row r="229" customFormat="false" ht="12.8" hidden="false" customHeight="false" outlineLevel="0" collapsed="false">
      <c r="A229" s="1" t="n">
        <v>228</v>
      </c>
      <c r="B229" s="1" t="n">
        <v>101174</v>
      </c>
      <c r="C229" s="1" t="n">
        <v>1174</v>
      </c>
      <c r="D229" s="1" t="n">
        <v>1723.48</v>
      </c>
      <c r="E229" s="1" t="n">
        <v>2</v>
      </c>
      <c r="F229" s="1" t="n">
        <v>242.11</v>
      </c>
      <c r="G229" s="1" t="n">
        <v>1.16</v>
      </c>
      <c r="H229" s="1" t="n">
        <v>1.47</v>
      </c>
      <c r="I229" s="1" t="n">
        <v>17.03</v>
      </c>
      <c r="J229" s="1" t="n">
        <v>861.74</v>
      </c>
      <c r="K229" s="1" t="n">
        <f aca="false">IFERROR(F229/D229,"")</f>
        <v>0.140477406178198</v>
      </c>
    </row>
    <row r="230" customFormat="false" ht="12.8" hidden="false" customHeight="false" outlineLevel="0" collapsed="false">
      <c r="A230" s="1" t="n">
        <v>229</v>
      </c>
      <c r="B230" s="1" t="n">
        <v>345608</v>
      </c>
      <c r="C230" s="1" t="n">
        <v>2897</v>
      </c>
      <c r="D230" s="1" t="n">
        <v>4380.31</v>
      </c>
      <c r="E230" s="1" t="n">
        <v>24</v>
      </c>
      <c r="F230" s="1" t="n">
        <v>1536.98</v>
      </c>
      <c r="G230" s="1" t="n">
        <v>0.84</v>
      </c>
      <c r="H230" s="1" t="n">
        <v>1.51</v>
      </c>
      <c r="I230" s="1" t="n">
        <v>12.67</v>
      </c>
      <c r="J230" s="1" t="n">
        <v>182.51</v>
      </c>
      <c r="K230" s="1" t="n">
        <f aca="false">IFERROR(F230/D230,"")</f>
        <v>0.350883841554593</v>
      </c>
    </row>
    <row r="231" customFormat="false" ht="12.8" hidden="false" customHeight="false" outlineLevel="0" collapsed="false">
      <c r="A231" s="1" t="n">
        <v>230</v>
      </c>
      <c r="B231" s="1" t="n">
        <v>801821</v>
      </c>
      <c r="C231" s="1" t="n">
        <v>3798</v>
      </c>
      <c r="D231" s="1" t="n">
        <v>5539.63</v>
      </c>
      <c r="E231" s="1" t="n">
        <v>40</v>
      </c>
      <c r="F231" s="1" t="n">
        <v>2768.41</v>
      </c>
      <c r="G231" s="1" t="n">
        <v>0.47</v>
      </c>
      <c r="H231" s="1" t="n">
        <v>1.46</v>
      </c>
      <c r="I231" s="1" t="n">
        <v>6.91</v>
      </c>
      <c r="J231" s="1" t="n">
        <v>138.49</v>
      </c>
      <c r="K231" s="1" t="n">
        <f aca="false">IFERROR(F231/D231,"")</f>
        <v>0.499746372952706</v>
      </c>
    </row>
    <row r="232" customFormat="false" ht="12.8" hidden="false" customHeight="false" outlineLevel="0" collapsed="false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K232" s="1" t="str">
        <f aca="false">IFERROR(F232/D232,"")</f>
        <v/>
      </c>
    </row>
    <row r="233" customFormat="false" ht="12.8" hidden="false" customHeight="false" outlineLevel="0" collapsed="false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K233" s="1" t="str">
        <f aca="false">IFERROR(F233/D233,"")</f>
        <v/>
      </c>
    </row>
    <row r="234" customFormat="false" ht="12.8" hidden="false" customHeight="false" outlineLevel="0" collapsed="false">
      <c r="A234" s="1" t="n">
        <v>233</v>
      </c>
      <c r="B234" s="1" t="n">
        <v>60231</v>
      </c>
      <c r="C234" s="1" t="n">
        <v>657</v>
      </c>
      <c r="D234" s="1" t="n">
        <v>880.85</v>
      </c>
      <c r="E234" s="1" t="n">
        <v>3</v>
      </c>
      <c r="F234" s="1" t="n">
        <v>131.87</v>
      </c>
      <c r="G234" s="1" t="n">
        <v>1.09</v>
      </c>
      <c r="H234" s="1" t="n">
        <v>1.34</v>
      </c>
      <c r="I234" s="1" t="n">
        <v>14.62</v>
      </c>
      <c r="J234" s="1" t="n">
        <v>293.62</v>
      </c>
      <c r="K234" s="1" t="n">
        <f aca="false">IFERROR(F234/D234,"")</f>
        <v>0.149707668729069</v>
      </c>
    </row>
    <row r="235" customFormat="false" ht="12.8" hidden="false" customHeight="false" outlineLevel="0" collapsed="false">
      <c r="A235" s="1" t="n">
        <v>234</v>
      </c>
      <c r="B235" s="1" t="n">
        <v>430306</v>
      </c>
      <c r="C235" s="1" t="n">
        <v>3464</v>
      </c>
      <c r="D235" s="1" t="n">
        <v>4952.04</v>
      </c>
      <c r="E235" s="1" t="n">
        <v>27</v>
      </c>
      <c r="F235" s="1" t="n">
        <v>2139.68</v>
      </c>
      <c r="G235" s="1" t="n">
        <v>0.81</v>
      </c>
      <c r="H235" s="1" t="n">
        <v>1.43</v>
      </c>
      <c r="I235" s="1" t="n">
        <v>11.51</v>
      </c>
      <c r="J235" s="1" t="n">
        <v>183.41</v>
      </c>
      <c r="K235" s="1" t="n">
        <f aca="false">IFERROR(F235/D235,"")</f>
        <v>0.432080516312469</v>
      </c>
    </row>
    <row r="236" customFormat="false" ht="12.8" hidden="false" customHeight="false" outlineLevel="0" collapsed="false">
      <c r="A236" s="1" t="n">
        <v>235</v>
      </c>
      <c r="B236" s="1" t="n">
        <v>508936</v>
      </c>
      <c r="C236" s="1" t="n">
        <v>1269</v>
      </c>
      <c r="D236" s="1" t="n">
        <v>1886.19</v>
      </c>
      <c r="E236" s="1" t="n">
        <v>22</v>
      </c>
      <c r="F236" s="1" t="n">
        <v>1231.54</v>
      </c>
      <c r="G236" s="1" t="n">
        <v>0.25</v>
      </c>
      <c r="H236" s="1" t="n">
        <v>1.49</v>
      </c>
      <c r="I236" s="1" t="n">
        <v>3.71</v>
      </c>
      <c r="J236" s="1" t="n">
        <v>85.74</v>
      </c>
      <c r="K236" s="1" t="n">
        <f aca="false">IFERROR(F236/D236,"")</f>
        <v>0.652924678849957</v>
      </c>
    </row>
    <row r="237" customFormat="false" ht="12.8" hidden="false" customHeight="false" outlineLevel="0" collapsed="false">
      <c r="A237" s="1" t="n">
        <v>236</v>
      </c>
      <c r="B237" s="1" t="n">
        <v>345102</v>
      </c>
      <c r="C237" s="1" t="n">
        <v>1867</v>
      </c>
      <c r="D237" s="1" t="n">
        <v>0</v>
      </c>
      <c r="E237" s="1" t="n">
        <v>29</v>
      </c>
      <c r="F237" s="1" t="n">
        <v>2565.54</v>
      </c>
      <c r="G237" s="1" t="n">
        <v>0.54</v>
      </c>
      <c r="H237" s="1" t="n">
        <v>0</v>
      </c>
      <c r="I237" s="1" t="n">
        <v>0</v>
      </c>
      <c r="J237" s="1" t="n">
        <v>0</v>
      </c>
      <c r="K237" s="1" t="str">
        <f aca="false">IFERROR(F237/D237,"")</f>
        <v/>
      </c>
    </row>
    <row r="238" customFormat="false" ht="12.8" hidden="false" customHeight="false" outlineLevel="0" collapsed="false">
      <c r="A238" s="1" t="n">
        <v>237</v>
      </c>
      <c r="B238" s="1" t="n">
        <v>6779409</v>
      </c>
      <c r="C238" s="1" t="n">
        <v>22160</v>
      </c>
      <c r="D238" s="1" t="n">
        <v>32319.08</v>
      </c>
      <c r="E238" s="1" t="n">
        <v>263</v>
      </c>
      <c r="F238" s="1" t="n">
        <v>20319.3</v>
      </c>
      <c r="G238" s="1" t="n">
        <v>0.33</v>
      </c>
      <c r="H238" s="1" t="n">
        <v>1.46</v>
      </c>
      <c r="I238" s="1" t="n">
        <v>4.77</v>
      </c>
      <c r="J238" s="1" t="n">
        <v>122.89</v>
      </c>
      <c r="K238" s="1" t="n">
        <f aca="false">IFERROR(F238/D238,"")</f>
        <v>0.628709109293953</v>
      </c>
    </row>
    <row r="239" customFormat="false" ht="12.8" hidden="false" customHeight="false" outlineLevel="0" collapsed="false">
      <c r="A239" s="1" t="n">
        <v>238</v>
      </c>
      <c r="B239" s="1" t="n">
        <v>21871</v>
      </c>
      <c r="C239" s="1" t="n">
        <v>266</v>
      </c>
      <c r="D239" s="1" t="n">
        <v>358.85</v>
      </c>
      <c r="E239" s="1" t="n">
        <v>4</v>
      </c>
      <c r="F239" s="1" t="n">
        <v>313.37</v>
      </c>
      <c r="G239" s="1" t="n">
        <v>1.22</v>
      </c>
      <c r="H239" s="1" t="n">
        <v>1.35</v>
      </c>
      <c r="I239" s="1" t="n">
        <v>16.41</v>
      </c>
      <c r="J239" s="1" t="n">
        <v>89.71</v>
      </c>
      <c r="K239" s="1" t="n">
        <f aca="false">IFERROR(F239/D239,"")</f>
        <v>0.873261808555107</v>
      </c>
    </row>
    <row r="240" customFormat="false" ht="12.8" hidden="false" customHeight="false" outlineLevel="0" collapsed="false">
      <c r="A240" s="1" t="n">
        <v>239</v>
      </c>
      <c r="B240" s="1" t="n">
        <v>487410</v>
      </c>
      <c r="C240" s="1" t="n">
        <v>3335</v>
      </c>
      <c r="D240" s="1" t="n">
        <v>0</v>
      </c>
      <c r="E240" s="1" t="n">
        <v>28</v>
      </c>
      <c r="F240" s="1" t="n">
        <v>2666.16</v>
      </c>
      <c r="G240" s="1" t="n">
        <v>0.68</v>
      </c>
      <c r="H240" s="1" t="n">
        <v>0</v>
      </c>
      <c r="I240" s="1" t="n">
        <v>0</v>
      </c>
      <c r="J240" s="1" t="n">
        <v>0</v>
      </c>
      <c r="K240" s="1" t="str">
        <f aca="false">IFERROR(F240/D240,"")</f>
        <v/>
      </c>
    </row>
    <row r="241" customFormat="false" ht="12.8" hidden="false" customHeight="false" outlineLevel="0" collapsed="false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K241" s="1" t="str">
        <f aca="false">IFERROR(F241/D241,"")</f>
        <v/>
      </c>
    </row>
    <row r="242" customFormat="false" ht="12.8" hidden="false" customHeight="false" outlineLevel="0" collapsed="false">
      <c r="A242" s="1" t="n">
        <v>241</v>
      </c>
      <c r="B242" s="1" t="n">
        <v>1313167</v>
      </c>
      <c r="C242" s="1" t="n">
        <v>6449</v>
      </c>
      <c r="D242" s="1" t="n">
        <v>0</v>
      </c>
      <c r="E242" s="1" t="n">
        <v>60</v>
      </c>
      <c r="F242" s="1" t="n">
        <v>4294.08</v>
      </c>
      <c r="G242" s="1" t="n">
        <v>0.49</v>
      </c>
      <c r="H242" s="1" t="n">
        <v>0</v>
      </c>
      <c r="I242" s="1" t="n">
        <v>0</v>
      </c>
      <c r="J242" s="1" t="n">
        <v>0</v>
      </c>
      <c r="K242" s="1" t="str">
        <f aca="false">IFERROR(F242/D242,"")</f>
        <v/>
      </c>
    </row>
    <row r="243" customFormat="false" ht="12.8" hidden="false" customHeight="false" outlineLevel="0" collapsed="false">
      <c r="A243" s="1" t="n">
        <v>242</v>
      </c>
      <c r="B243" s="1" t="n">
        <v>232482</v>
      </c>
      <c r="C243" s="1" t="n">
        <v>2290</v>
      </c>
      <c r="D243" s="1" t="n">
        <v>3235.54</v>
      </c>
      <c r="E243" s="1" t="n">
        <v>21</v>
      </c>
      <c r="F243" s="1" t="n">
        <v>1477.26</v>
      </c>
      <c r="G243" s="1" t="n">
        <v>0.99</v>
      </c>
      <c r="H243" s="1" t="n">
        <v>1.41</v>
      </c>
      <c r="I243" s="1" t="n">
        <v>13.92</v>
      </c>
      <c r="J243" s="1" t="n">
        <v>154.07</v>
      </c>
      <c r="K243" s="1" t="n">
        <f aca="false">IFERROR(F243/D243,"")</f>
        <v>0.456572936820438</v>
      </c>
    </row>
    <row r="244" customFormat="false" ht="12.8" hidden="false" customHeight="false" outlineLevel="0" collapsed="false">
      <c r="A244" s="1" t="n">
        <v>243</v>
      </c>
      <c r="B244" s="1" t="n">
        <v>74192</v>
      </c>
      <c r="C244" s="1" t="n">
        <v>952</v>
      </c>
      <c r="D244" s="1" t="n">
        <v>1331.74</v>
      </c>
      <c r="E244" s="1" t="n">
        <v>4</v>
      </c>
      <c r="F244" s="1" t="n">
        <v>331.04</v>
      </c>
      <c r="G244" s="1" t="n">
        <v>1.28</v>
      </c>
      <c r="H244" s="1" t="n">
        <v>1.4</v>
      </c>
      <c r="I244" s="1" t="n">
        <v>17.95</v>
      </c>
      <c r="J244" s="1" t="n">
        <v>332.94</v>
      </c>
      <c r="K244" s="1" t="n">
        <f aca="false">IFERROR(F244/D244,"")</f>
        <v>0.248577049574241</v>
      </c>
    </row>
    <row r="245" customFormat="false" ht="12.8" hidden="false" customHeight="false" outlineLevel="0" collapsed="false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K245" s="1" t="str">
        <f aca="false">IFERROR(F245/D245,"")</f>
        <v/>
      </c>
    </row>
    <row r="246" customFormat="false" ht="12.8" hidden="false" customHeight="false" outlineLevel="0" collapsed="false">
      <c r="A246" s="1" t="n">
        <v>245</v>
      </c>
      <c r="B246" s="1" t="n">
        <v>63339</v>
      </c>
      <c r="C246" s="1" t="n">
        <v>817</v>
      </c>
      <c r="D246" s="1" t="n">
        <v>1085.89</v>
      </c>
      <c r="E246" s="1" t="n">
        <v>3</v>
      </c>
      <c r="F246" s="1" t="n">
        <v>204.7</v>
      </c>
      <c r="G246" s="1" t="n">
        <v>1.29</v>
      </c>
      <c r="H246" s="1" t="n">
        <v>1.33</v>
      </c>
      <c r="I246" s="1" t="n">
        <v>17.14</v>
      </c>
      <c r="J246" s="1" t="n">
        <v>361.96</v>
      </c>
      <c r="K246" s="1" t="n">
        <f aca="false">IFERROR(F246/D246,"")</f>
        <v>0.188508964996455</v>
      </c>
    </row>
    <row r="247" customFormat="false" ht="12.8" hidden="false" customHeight="false" outlineLevel="0" collapsed="false">
      <c r="A247" s="1" t="n">
        <v>246</v>
      </c>
      <c r="B247" s="1" t="n">
        <v>294333</v>
      </c>
      <c r="C247" s="1" t="n">
        <v>2243</v>
      </c>
      <c r="D247" s="1" t="n">
        <v>3087.42</v>
      </c>
      <c r="E247" s="1" t="n">
        <v>21</v>
      </c>
      <c r="F247" s="1" t="n">
        <v>1118.97</v>
      </c>
      <c r="G247" s="1" t="n">
        <v>0.76</v>
      </c>
      <c r="H247" s="1" t="n">
        <v>1.38</v>
      </c>
      <c r="I247" s="1" t="n">
        <v>10.49</v>
      </c>
      <c r="J247" s="1" t="n">
        <v>147.02</v>
      </c>
      <c r="K247" s="1" t="n">
        <f aca="false">IFERROR(F247/D247,"")</f>
        <v>0.362428824066696</v>
      </c>
    </row>
    <row r="248" customFormat="false" ht="12.8" hidden="false" customHeight="false" outlineLevel="0" collapsed="false">
      <c r="A248" s="1" t="n">
        <v>247</v>
      </c>
      <c r="B248" s="1" t="n">
        <v>241115</v>
      </c>
      <c r="C248" s="1" t="n">
        <v>1744</v>
      </c>
      <c r="D248" s="1" t="n">
        <v>2469.16</v>
      </c>
      <c r="E248" s="1" t="n">
        <v>18</v>
      </c>
      <c r="F248" s="1" t="n">
        <v>1251.11</v>
      </c>
      <c r="G248" s="1" t="n">
        <v>0.72</v>
      </c>
      <c r="H248" s="1" t="n">
        <v>1.42</v>
      </c>
      <c r="I248" s="1" t="n">
        <v>10.24</v>
      </c>
      <c r="J248" s="1" t="n">
        <v>137.18</v>
      </c>
      <c r="K248" s="1" t="n">
        <f aca="false">IFERROR(F248/D248,"")</f>
        <v>0.506694584393073</v>
      </c>
    </row>
    <row r="249" customFormat="false" ht="12.8" hidden="false" customHeight="false" outlineLevel="0" collapsed="false">
      <c r="A249" s="1" t="n">
        <v>248</v>
      </c>
      <c r="B249" s="1" t="n">
        <v>164810</v>
      </c>
      <c r="C249" s="1" t="n">
        <v>2313</v>
      </c>
      <c r="D249" s="1" t="n">
        <v>3613.77</v>
      </c>
      <c r="E249" s="1" t="n">
        <v>10</v>
      </c>
      <c r="F249" s="1" t="n">
        <v>692.49</v>
      </c>
      <c r="G249" s="1" t="n">
        <v>1.4</v>
      </c>
      <c r="H249" s="1" t="n">
        <v>1.56</v>
      </c>
      <c r="I249" s="1" t="n">
        <v>21.93</v>
      </c>
      <c r="J249" s="1" t="n">
        <v>361.38</v>
      </c>
      <c r="K249" s="1" t="n">
        <f aca="false">IFERROR(F249/D249,"")</f>
        <v>0.191625366307208</v>
      </c>
    </row>
    <row r="250" customFormat="false" ht="12.8" hidden="false" customHeight="false" outlineLevel="0" collapsed="false">
      <c r="A250" s="1" t="n">
        <v>249</v>
      </c>
      <c r="B250" s="1" t="n">
        <v>144633</v>
      </c>
      <c r="C250" s="1" t="n">
        <v>2027</v>
      </c>
      <c r="D250" s="1" t="n">
        <v>2950.5</v>
      </c>
      <c r="E250" s="1" t="n">
        <v>8</v>
      </c>
      <c r="F250" s="1" t="n">
        <v>414.51</v>
      </c>
      <c r="G250" s="1" t="n">
        <v>1.4</v>
      </c>
      <c r="H250" s="1" t="n">
        <v>1.46</v>
      </c>
      <c r="I250" s="1" t="n">
        <v>20.4</v>
      </c>
      <c r="J250" s="1" t="n">
        <v>368.81</v>
      </c>
      <c r="K250" s="1" t="n">
        <f aca="false">IFERROR(F250/D250,"")</f>
        <v>0.140488052872395</v>
      </c>
    </row>
    <row r="251" customFormat="false" ht="12.8" hidden="false" customHeight="false" outlineLevel="0" collapsed="false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K251" s="1" t="str">
        <f aca="false">IFERROR(F251/D251,"")</f>
        <v/>
      </c>
    </row>
    <row r="252" customFormat="false" ht="12.8" hidden="false" customHeight="false" outlineLevel="0" collapsed="false">
      <c r="A252" s="1" t="n">
        <v>251</v>
      </c>
      <c r="B252" s="1" t="n">
        <v>156353</v>
      </c>
      <c r="C252" s="1" t="n">
        <v>1532</v>
      </c>
      <c r="D252" s="1" t="n">
        <v>2281.28</v>
      </c>
      <c r="E252" s="1" t="n">
        <v>18</v>
      </c>
      <c r="F252" s="1" t="n">
        <v>1096.64</v>
      </c>
      <c r="G252" s="1" t="n">
        <v>0.98</v>
      </c>
      <c r="H252" s="1" t="n">
        <v>1.49</v>
      </c>
      <c r="I252" s="1" t="n">
        <v>14.59</v>
      </c>
      <c r="J252" s="1" t="n">
        <v>126.74</v>
      </c>
      <c r="K252" s="1" t="n">
        <f aca="false">IFERROR(F252/D252,"")</f>
        <v>0.480712582409875</v>
      </c>
    </row>
    <row r="253" customFormat="false" ht="12.8" hidden="false" customHeight="false" outlineLevel="0" collapsed="false">
      <c r="A253" s="1" t="n">
        <v>252</v>
      </c>
      <c r="B253" s="1" t="n">
        <v>768313</v>
      </c>
      <c r="C253" s="1" t="n">
        <v>2198</v>
      </c>
      <c r="D253" s="1" t="n">
        <v>3321.95</v>
      </c>
      <c r="E253" s="1" t="n">
        <v>11</v>
      </c>
      <c r="F253" s="1" t="n">
        <v>855.11</v>
      </c>
      <c r="G253" s="1" t="n">
        <v>0.29</v>
      </c>
      <c r="H253" s="1" t="n">
        <v>1.51</v>
      </c>
      <c r="I253" s="1" t="n">
        <v>4.32</v>
      </c>
      <c r="J253" s="1" t="n">
        <v>302</v>
      </c>
      <c r="K253" s="1" t="n">
        <f aca="false">IFERROR(F253/D253,"")</f>
        <v>0.257412062192387</v>
      </c>
    </row>
    <row r="254" customFormat="false" ht="12.8" hidden="false" customHeight="false" outlineLevel="0" collapsed="false">
      <c r="A254" s="1" t="n">
        <v>253</v>
      </c>
      <c r="B254" s="1" t="n">
        <v>18206</v>
      </c>
      <c r="C254" s="1" t="n">
        <v>122</v>
      </c>
      <c r="D254" s="1" t="n">
        <v>0</v>
      </c>
      <c r="E254" s="1" t="n">
        <v>3</v>
      </c>
      <c r="F254" s="1" t="n">
        <v>103.26</v>
      </c>
      <c r="G254" s="1" t="n">
        <v>0.67</v>
      </c>
      <c r="H254" s="1" t="n">
        <v>0</v>
      </c>
      <c r="I254" s="1" t="n">
        <v>0</v>
      </c>
      <c r="J254" s="1" t="n">
        <v>0</v>
      </c>
      <c r="K254" s="1" t="str">
        <f aca="false">IFERROR(F254/D254,"")</f>
        <v/>
      </c>
    </row>
    <row r="255" customFormat="false" ht="12.8" hidden="false" customHeight="false" outlineLevel="0" collapsed="false">
      <c r="A255" s="1" t="n">
        <v>254</v>
      </c>
      <c r="B255" s="1" t="n">
        <v>4482</v>
      </c>
      <c r="C255" s="1" t="n">
        <v>125</v>
      </c>
      <c r="D255" s="1" t="n">
        <v>207.11</v>
      </c>
      <c r="E255" s="1" t="n">
        <v>1</v>
      </c>
      <c r="F255" s="1" t="n">
        <v>121.72</v>
      </c>
      <c r="G255" s="1" t="n">
        <v>2.79</v>
      </c>
      <c r="H255" s="1" t="n">
        <v>1.66</v>
      </c>
      <c r="I255" s="1" t="n">
        <v>46.21</v>
      </c>
      <c r="J255" s="1" t="n">
        <v>207.11</v>
      </c>
      <c r="K255" s="1" t="n">
        <f aca="false">IFERROR(F255/D255,"")</f>
        <v>0.587707015595577</v>
      </c>
    </row>
    <row r="256" customFormat="false" ht="12.8" hidden="false" customHeight="false" outlineLevel="0" collapsed="false">
      <c r="A256" s="1" t="n">
        <v>255</v>
      </c>
      <c r="B256" s="1" t="n">
        <v>3416140</v>
      </c>
      <c r="C256" s="1" t="n">
        <v>9371</v>
      </c>
      <c r="D256" s="1" t="n">
        <v>14373.98</v>
      </c>
      <c r="E256" s="1" t="n">
        <v>114</v>
      </c>
      <c r="F256" s="1" t="n">
        <v>8356.69</v>
      </c>
      <c r="G256" s="1" t="n">
        <v>0.27</v>
      </c>
      <c r="H256" s="1" t="n">
        <v>1.53</v>
      </c>
      <c r="I256" s="1" t="n">
        <v>4.21</v>
      </c>
      <c r="J256" s="1" t="n">
        <v>126.09</v>
      </c>
      <c r="K256" s="1" t="n">
        <f aca="false">IFERROR(F256/D256,"")</f>
        <v>0.581376208955349</v>
      </c>
    </row>
    <row r="257" customFormat="false" ht="12.8" hidden="false" customHeight="false" outlineLevel="0" collapsed="false">
      <c r="A257" s="1" t="n">
        <v>256</v>
      </c>
      <c r="B257" s="1" t="n">
        <v>1602645</v>
      </c>
      <c r="C257" s="1" t="n">
        <v>6466</v>
      </c>
      <c r="D257" s="1" t="n">
        <v>9251.84</v>
      </c>
      <c r="E257" s="1" t="n">
        <v>67</v>
      </c>
      <c r="F257" s="1" t="n">
        <v>5547.68</v>
      </c>
      <c r="G257" s="1" t="n">
        <v>0.4</v>
      </c>
      <c r="H257" s="1" t="n">
        <v>1.43</v>
      </c>
      <c r="I257" s="1" t="n">
        <v>5.77</v>
      </c>
      <c r="J257" s="1" t="n">
        <v>138.09</v>
      </c>
      <c r="K257" s="1" t="n">
        <f aca="false">IFERROR(F257/D257,"")</f>
        <v>0.599629911455451</v>
      </c>
    </row>
    <row r="258" customFormat="false" ht="12.8" hidden="false" customHeight="false" outlineLevel="0" collapsed="false">
      <c r="A258" s="1" t="n">
        <v>257</v>
      </c>
      <c r="B258" s="1" t="n">
        <v>357363</v>
      </c>
      <c r="C258" s="1" t="n">
        <v>2973</v>
      </c>
      <c r="D258" s="1" t="n">
        <v>4367.32</v>
      </c>
      <c r="E258" s="1" t="n">
        <v>31</v>
      </c>
      <c r="F258" s="1" t="n">
        <v>1900.61</v>
      </c>
      <c r="G258" s="1" t="n">
        <v>0.83</v>
      </c>
      <c r="H258" s="1" t="n">
        <v>1.47</v>
      </c>
      <c r="I258" s="1" t="n">
        <v>12.22</v>
      </c>
      <c r="J258" s="1" t="n">
        <v>140.88</v>
      </c>
      <c r="K258" s="1" t="n">
        <f aca="false">IFERROR(F258/D258,"")</f>
        <v>0.435189086213055</v>
      </c>
    </row>
    <row r="259" customFormat="false" ht="12.8" hidden="false" customHeight="false" outlineLevel="0" collapsed="false">
      <c r="A259" s="1" t="n">
        <v>258</v>
      </c>
      <c r="B259" s="1" t="n">
        <v>476197</v>
      </c>
      <c r="C259" s="1" t="n">
        <v>2993</v>
      </c>
      <c r="D259" s="1" t="n">
        <v>4162.8</v>
      </c>
      <c r="E259" s="1" t="n">
        <v>24</v>
      </c>
      <c r="F259" s="1" t="n">
        <v>1887.96</v>
      </c>
      <c r="G259" s="1" t="n">
        <v>0.63</v>
      </c>
      <c r="H259" s="1" t="n">
        <v>1.39</v>
      </c>
      <c r="I259" s="1" t="n">
        <v>8.74</v>
      </c>
      <c r="J259" s="1" t="n">
        <v>173.45</v>
      </c>
      <c r="K259" s="1" t="n">
        <f aca="false">IFERROR(F259/D259,"")</f>
        <v>0.453531277025079</v>
      </c>
    </row>
    <row r="260" customFormat="false" ht="12.8" hidden="false" customHeight="false" outlineLevel="0" collapsed="false">
      <c r="A260" s="1" t="n">
        <v>259</v>
      </c>
      <c r="B260" s="1" t="n">
        <v>153661</v>
      </c>
      <c r="C260" s="1" t="n">
        <v>681</v>
      </c>
      <c r="D260" s="1" t="n">
        <v>1138.43</v>
      </c>
      <c r="E260" s="1" t="n">
        <v>2</v>
      </c>
      <c r="F260" s="1" t="n">
        <v>175.96</v>
      </c>
      <c r="G260" s="1" t="n">
        <v>0.44</v>
      </c>
      <c r="H260" s="1" t="n">
        <v>1.67</v>
      </c>
      <c r="I260" s="1" t="n">
        <v>7.41</v>
      </c>
      <c r="J260" s="1" t="n">
        <v>569.22</v>
      </c>
      <c r="K260" s="1" t="n">
        <f aca="false">IFERROR(F260/D260,"")</f>
        <v>0.154563741292833</v>
      </c>
    </row>
    <row r="261" customFormat="false" ht="12.8" hidden="false" customHeight="false" outlineLevel="0" collapsed="false">
      <c r="A261" s="1" t="n">
        <v>260</v>
      </c>
      <c r="B261" s="1" t="n">
        <v>1180042</v>
      </c>
      <c r="C261" s="1" t="n">
        <v>4616</v>
      </c>
      <c r="D261" s="1" t="n">
        <v>0</v>
      </c>
      <c r="E261" s="1" t="n">
        <v>71</v>
      </c>
      <c r="F261" s="1" t="n">
        <v>4762.54</v>
      </c>
      <c r="G261" s="1" t="n">
        <v>0.39</v>
      </c>
      <c r="H261" s="1" t="n">
        <v>0</v>
      </c>
      <c r="I261" s="1" t="n">
        <v>0</v>
      </c>
      <c r="J261" s="1" t="n">
        <v>0</v>
      </c>
      <c r="K261" s="1" t="str">
        <f aca="false">IFERROR(F261/D261,"")</f>
        <v/>
      </c>
    </row>
    <row r="262" customFormat="false" ht="12.8" hidden="false" customHeight="false" outlineLevel="0" collapsed="false">
      <c r="A262" s="1" t="n">
        <v>261</v>
      </c>
      <c r="B262" s="1" t="n">
        <v>2137885</v>
      </c>
      <c r="C262" s="1" t="n">
        <v>6905</v>
      </c>
      <c r="D262" s="1" t="n">
        <v>9811.64</v>
      </c>
      <c r="E262" s="1" t="n">
        <v>103</v>
      </c>
      <c r="F262" s="1" t="n">
        <v>6321.39</v>
      </c>
      <c r="G262" s="1" t="n">
        <v>0.32</v>
      </c>
      <c r="H262" s="1" t="n">
        <v>1.42</v>
      </c>
      <c r="I262" s="1" t="n">
        <v>4.59</v>
      </c>
      <c r="J262" s="1" t="n">
        <v>95.26</v>
      </c>
      <c r="K262" s="1" t="n">
        <f aca="false">IFERROR(F262/D262,"")</f>
        <v>0.644274555527924</v>
      </c>
    </row>
    <row r="263" customFormat="false" ht="12.8" hidden="false" customHeight="false" outlineLevel="0" collapsed="false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K263" s="1" t="str">
        <f aca="false">IFERROR(F263/D263,"")</f>
        <v/>
      </c>
    </row>
    <row r="264" customFormat="false" ht="12.8" hidden="false" customHeight="false" outlineLevel="0" collapsed="false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K264" s="1" t="str">
        <f aca="false">IFERROR(F264/D264,"")</f>
        <v/>
      </c>
    </row>
    <row r="265" customFormat="false" ht="12.8" hidden="false" customHeight="false" outlineLevel="0" collapsed="false">
      <c r="A265" s="1" t="n">
        <v>264</v>
      </c>
      <c r="B265" s="1" t="n">
        <v>982481</v>
      </c>
      <c r="C265" s="1" t="n">
        <v>5690</v>
      </c>
      <c r="D265" s="1" t="n">
        <v>8038.44</v>
      </c>
      <c r="E265" s="1" t="n">
        <v>63</v>
      </c>
      <c r="F265" s="1" t="n">
        <v>3869.07</v>
      </c>
      <c r="G265" s="1" t="n">
        <v>0.58</v>
      </c>
      <c r="H265" s="1" t="n">
        <v>1.41</v>
      </c>
      <c r="I265" s="1" t="n">
        <v>8.18</v>
      </c>
      <c r="J265" s="1" t="n">
        <v>127.59</v>
      </c>
      <c r="K265" s="1" t="n">
        <f aca="false">IFERROR(F265/D265,"")</f>
        <v>0.481321002582591</v>
      </c>
    </row>
    <row r="266" customFormat="false" ht="12.8" hidden="false" customHeight="false" outlineLevel="0" collapsed="false">
      <c r="A266" s="1" t="n">
        <v>265</v>
      </c>
      <c r="B266" s="1" t="n">
        <v>2902491</v>
      </c>
      <c r="C266" s="1" t="n">
        <v>9073</v>
      </c>
      <c r="D266" s="1" t="n">
        <v>13029.54</v>
      </c>
      <c r="E266" s="1" t="n">
        <v>116</v>
      </c>
      <c r="F266" s="1" t="n">
        <v>9135.04</v>
      </c>
      <c r="G266" s="1" t="n">
        <v>0.31</v>
      </c>
      <c r="H266" s="1" t="n">
        <v>1.44</v>
      </c>
      <c r="I266" s="1" t="n">
        <v>4.49</v>
      </c>
      <c r="J266" s="1" t="n">
        <v>112.32</v>
      </c>
      <c r="K266" s="1" t="n">
        <f aca="false">IFERROR(F266/D266,"")</f>
        <v>0.701102264546561</v>
      </c>
    </row>
    <row r="267" customFormat="false" ht="12.8" hidden="false" customHeight="false" outlineLevel="0" collapsed="false">
      <c r="A267" s="1" t="n">
        <v>266</v>
      </c>
      <c r="B267" s="1" t="n">
        <v>7558</v>
      </c>
      <c r="C267" s="1" t="n">
        <v>121</v>
      </c>
      <c r="D267" s="1" t="n">
        <v>0</v>
      </c>
      <c r="E267" s="1" t="n">
        <v>0</v>
      </c>
      <c r="F267" s="1" t="n">
        <v>0</v>
      </c>
      <c r="G267" s="1" t="n">
        <v>1.6</v>
      </c>
      <c r="H267" s="1" t="n">
        <v>0</v>
      </c>
      <c r="I267" s="1" t="n">
        <v>0</v>
      </c>
      <c r="K267" s="1" t="str">
        <f aca="false">IFERROR(F267/D267,"")</f>
        <v/>
      </c>
    </row>
    <row r="268" customFormat="false" ht="12.8" hidden="false" customHeight="false" outlineLevel="0" collapsed="false">
      <c r="A268" s="1" t="n">
        <v>267</v>
      </c>
      <c r="B268" s="1" t="n">
        <v>35370</v>
      </c>
      <c r="C268" s="1" t="n">
        <v>459</v>
      </c>
      <c r="D268" s="1" t="n">
        <v>0</v>
      </c>
      <c r="E268" s="1" t="n">
        <v>1</v>
      </c>
      <c r="F268" s="1" t="n">
        <v>15.97</v>
      </c>
      <c r="G268" s="1" t="n">
        <v>1.3</v>
      </c>
      <c r="H268" s="1" t="n">
        <v>0</v>
      </c>
      <c r="I268" s="1" t="n">
        <v>0</v>
      </c>
      <c r="J268" s="1" t="n">
        <v>0</v>
      </c>
      <c r="K268" s="1" t="str">
        <f aca="false">IFERROR(F268/D268,"")</f>
        <v/>
      </c>
    </row>
    <row r="269" customFormat="false" ht="12.8" hidden="false" customHeight="false" outlineLevel="0" collapsed="false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K269" s="1" t="str">
        <f aca="false">IFERROR(F269/D269,"")</f>
        <v/>
      </c>
    </row>
    <row r="270" customFormat="false" ht="12.8" hidden="false" customHeight="false" outlineLevel="0" collapsed="false">
      <c r="A270" s="1" t="n">
        <v>269</v>
      </c>
      <c r="B270" s="1" t="n">
        <v>1703246</v>
      </c>
      <c r="C270" s="1" t="n">
        <v>5860</v>
      </c>
      <c r="D270" s="1" t="n">
        <v>7842.7</v>
      </c>
      <c r="E270" s="1" t="n">
        <v>70</v>
      </c>
      <c r="F270" s="1" t="n">
        <v>4988.74</v>
      </c>
      <c r="G270" s="1" t="n">
        <v>0.34</v>
      </c>
      <c r="H270" s="1" t="n">
        <v>1.34</v>
      </c>
      <c r="I270" s="1" t="n">
        <v>4.6</v>
      </c>
      <c r="J270" s="1" t="n">
        <v>112.04</v>
      </c>
      <c r="K270" s="1" t="n">
        <f aca="false">IFERROR(F270/D270,"")</f>
        <v>0.636099812564551</v>
      </c>
    </row>
    <row r="271" customFormat="false" ht="12.8" hidden="false" customHeight="false" outlineLevel="0" collapsed="false">
      <c r="A271" s="1" t="n">
        <v>270</v>
      </c>
      <c r="B271" s="1" t="n">
        <v>379653</v>
      </c>
      <c r="C271" s="1" t="n">
        <v>3446</v>
      </c>
      <c r="D271" s="1" t="n">
        <v>5134.23</v>
      </c>
      <c r="E271" s="1" t="n">
        <v>25</v>
      </c>
      <c r="F271" s="1" t="n">
        <v>2025</v>
      </c>
      <c r="G271" s="1" t="n">
        <v>0.91</v>
      </c>
      <c r="H271" s="1" t="n">
        <v>1.49</v>
      </c>
      <c r="I271" s="1" t="n">
        <v>13.52</v>
      </c>
      <c r="J271" s="1" t="n">
        <v>205.37</v>
      </c>
      <c r="K271" s="1" t="n">
        <f aca="false">IFERROR(F271/D271,"")</f>
        <v>0.394411625501779</v>
      </c>
    </row>
    <row r="272" customFormat="false" ht="12.8" hidden="false" customHeight="false" outlineLevel="0" collapsed="false">
      <c r="A272" s="1" t="n">
        <v>271</v>
      </c>
      <c r="B272" s="1" t="n">
        <v>21034</v>
      </c>
      <c r="C272" s="1" t="n">
        <v>329</v>
      </c>
      <c r="D272" s="1" t="n">
        <v>0</v>
      </c>
      <c r="E272" s="1" t="n">
        <v>0</v>
      </c>
      <c r="F272" s="1" t="n">
        <v>0</v>
      </c>
      <c r="G272" s="1" t="n">
        <v>1.56</v>
      </c>
      <c r="H272" s="1" t="n">
        <v>0</v>
      </c>
      <c r="I272" s="1" t="n">
        <v>0</v>
      </c>
      <c r="K272" s="1" t="str">
        <f aca="false">IFERROR(F272/D272,"")</f>
        <v/>
      </c>
    </row>
    <row r="273" customFormat="false" ht="12.8" hidden="false" customHeight="false" outlineLevel="0" collapsed="false">
      <c r="A273" s="1" t="n">
        <v>272</v>
      </c>
      <c r="B273" s="1" t="n">
        <v>109193</v>
      </c>
      <c r="C273" s="1" t="n">
        <v>1504</v>
      </c>
      <c r="D273" s="1" t="n">
        <v>0</v>
      </c>
      <c r="E273" s="1" t="n">
        <v>9</v>
      </c>
      <c r="F273" s="1" t="n">
        <v>804.94</v>
      </c>
      <c r="G273" s="1" t="n">
        <v>1.38</v>
      </c>
      <c r="H273" s="1" t="n">
        <v>0</v>
      </c>
      <c r="I273" s="1" t="n">
        <v>0</v>
      </c>
      <c r="J273" s="1" t="n">
        <v>0</v>
      </c>
      <c r="K273" s="1" t="str">
        <f aca="false">IFERROR(F273/D273,"")</f>
        <v/>
      </c>
    </row>
    <row r="274" customFormat="false" ht="12.8" hidden="false" customHeight="false" outlineLevel="0" collapsed="false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K274" s="1" t="str">
        <f aca="false">IFERROR(F274/D274,"")</f>
        <v/>
      </c>
    </row>
    <row r="275" customFormat="false" ht="12.8" hidden="false" customHeight="false" outlineLevel="0" collapsed="false">
      <c r="A275" s="1" t="n">
        <v>274</v>
      </c>
      <c r="B275" s="1" t="n">
        <v>8669509</v>
      </c>
      <c r="C275" s="1" t="n">
        <v>19366</v>
      </c>
      <c r="D275" s="1" t="n">
        <v>27023.18</v>
      </c>
      <c r="E275" s="1" t="n">
        <v>255</v>
      </c>
      <c r="F275" s="1" t="n">
        <v>18558.52</v>
      </c>
      <c r="G275" s="1" t="n">
        <v>0.22</v>
      </c>
      <c r="H275" s="1" t="n">
        <v>1.4</v>
      </c>
      <c r="I275" s="1" t="n">
        <v>3.12</v>
      </c>
      <c r="J275" s="1" t="n">
        <v>105.97</v>
      </c>
      <c r="K275" s="1" t="n">
        <f aca="false">IFERROR(F275/D275,"")</f>
        <v>0.686762993844544</v>
      </c>
    </row>
    <row r="276" customFormat="false" ht="12.8" hidden="false" customHeight="false" outlineLevel="0" collapsed="false">
      <c r="A276" s="1" t="n">
        <v>275</v>
      </c>
      <c r="B276" s="1" t="n">
        <v>15146</v>
      </c>
      <c r="C276" s="1" t="n">
        <v>196</v>
      </c>
      <c r="D276" s="1" t="n">
        <v>243.79</v>
      </c>
      <c r="E276" s="1" t="n">
        <v>0</v>
      </c>
      <c r="F276" s="1" t="n">
        <v>0</v>
      </c>
      <c r="G276" s="1" t="n">
        <v>1.29</v>
      </c>
      <c r="H276" s="1" t="n">
        <v>1.24</v>
      </c>
      <c r="I276" s="1" t="n">
        <v>16.1</v>
      </c>
      <c r="K276" s="1" t="n">
        <f aca="false">IFERROR(F276/D276,"")</f>
        <v>0</v>
      </c>
    </row>
    <row r="277" customFormat="false" ht="12.8" hidden="false" customHeight="false" outlineLevel="0" collapsed="false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K277" s="1" t="str">
        <f aca="false">IFERROR(F277/D277,"")</f>
        <v/>
      </c>
    </row>
    <row r="278" customFormat="false" ht="12.8" hidden="false" customHeight="false" outlineLevel="0" collapsed="false">
      <c r="A278" s="1" t="n">
        <v>277</v>
      </c>
      <c r="B278" s="1" t="n">
        <v>1288</v>
      </c>
      <c r="C278" s="1" t="n">
        <v>47</v>
      </c>
      <c r="D278" s="1" t="n">
        <v>56.52</v>
      </c>
      <c r="E278" s="1" t="n">
        <v>0</v>
      </c>
      <c r="F278" s="1" t="n">
        <v>0</v>
      </c>
      <c r="G278" s="1" t="n">
        <v>3.65</v>
      </c>
      <c r="H278" s="1" t="n">
        <v>1.2</v>
      </c>
      <c r="I278" s="1" t="n">
        <v>43.88</v>
      </c>
      <c r="K278" s="1" t="n">
        <f aca="false">IFERROR(F278/D278,"")</f>
        <v>0</v>
      </c>
    </row>
    <row r="279" customFormat="false" ht="12.8" hidden="false" customHeight="false" outlineLevel="0" collapsed="false">
      <c r="A279" s="1" t="n">
        <v>278</v>
      </c>
      <c r="B279" s="1" t="n">
        <v>1005238</v>
      </c>
      <c r="C279" s="1" t="n">
        <v>6226</v>
      </c>
      <c r="D279" s="1" t="n">
        <v>0</v>
      </c>
      <c r="E279" s="1" t="n">
        <v>54</v>
      </c>
      <c r="F279" s="1" t="n">
        <v>3659.71</v>
      </c>
      <c r="G279" s="1" t="n">
        <v>0.62</v>
      </c>
      <c r="H279" s="1" t="n">
        <v>0</v>
      </c>
      <c r="I279" s="1" t="n">
        <v>0</v>
      </c>
      <c r="J279" s="1" t="n">
        <v>0</v>
      </c>
      <c r="K279" s="1" t="str">
        <f aca="false">IFERROR(F279/D279,"")</f>
        <v/>
      </c>
    </row>
    <row r="280" customFormat="false" ht="12.8" hidden="false" customHeight="false" outlineLevel="0" collapsed="false">
      <c r="A280" s="1" t="n">
        <v>279</v>
      </c>
      <c r="B280" s="1" t="n">
        <v>2121267</v>
      </c>
      <c r="C280" s="1" t="n">
        <v>4276</v>
      </c>
      <c r="D280" s="1" t="n">
        <v>5160.6</v>
      </c>
      <c r="E280" s="1" t="n">
        <v>27</v>
      </c>
      <c r="F280" s="1" t="n">
        <v>2985.56</v>
      </c>
      <c r="G280" s="1" t="n">
        <v>0.2</v>
      </c>
      <c r="H280" s="1" t="n">
        <v>1.21</v>
      </c>
      <c r="I280" s="1" t="n">
        <v>2.43</v>
      </c>
      <c r="J280" s="1" t="n">
        <v>191.13</v>
      </c>
      <c r="K280" s="1" t="n">
        <f aca="false">IFERROR(F280/D280,"")</f>
        <v>0.57852962833779</v>
      </c>
    </row>
    <row r="281" customFormat="false" ht="12.8" hidden="false" customHeight="false" outlineLevel="0" collapsed="false">
      <c r="A281" s="1" t="n">
        <v>280</v>
      </c>
      <c r="B281" s="1" t="n">
        <v>285006</v>
      </c>
      <c r="C281" s="1" t="n">
        <v>2257</v>
      </c>
      <c r="D281" s="1" t="n">
        <v>0</v>
      </c>
      <c r="E281" s="1" t="n">
        <v>23</v>
      </c>
      <c r="F281" s="1" t="n">
        <v>1847.92</v>
      </c>
      <c r="G281" s="1" t="n">
        <v>0.79</v>
      </c>
      <c r="H281" s="1" t="n">
        <v>0</v>
      </c>
      <c r="I281" s="1" t="n">
        <v>0</v>
      </c>
      <c r="J281" s="1" t="n">
        <v>0</v>
      </c>
      <c r="K281" s="1" t="str">
        <f aca="false">IFERROR(F281/D281,"")</f>
        <v/>
      </c>
    </row>
    <row r="282" customFormat="false" ht="12.8" hidden="false" customHeight="false" outlineLevel="0" collapsed="false">
      <c r="A282" s="1" t="n">
        <v>281</v>
      </c>
      <c r="B282" s="1" t="n">
        <v>646860</v>
      </c>
      <c r="C282" s="1" t="n">
        <v>1338</v>
      </c>
      <c r="D282" s="1" t="n">
        <v>2165</v>
      </c>
      <c r="E282" s="1" t="n">
        <v>29</v>
      </c>
      <c r="F282" s="1" t="n">
        <v>1772.73</v>
      </c>
      <c r="G282" s="1" t="n">
        <v>0.21</v>
      </c>
      <c r="H282" s="1" t="n">
        <v>1.62</v>
      </c>
      <c r="I282" s="1" t="n">
        <v>3.35</v>
      </c>
      <c r="J282" s="1" t="n">
        <v>74.66</v>
      </c>
      <c r="K282" s="1" t="n">
        <f aca="false">IFERROR(F282/D282,"")</f>
        <v>0.818812933025404</v>
      </c>
    </row>
    <row r="283" customFormat="false" ht="12.8" hidden="false" customHeight="false" outlineLevel="0" collapsed="false">
      <c r="A283" s="1" t="n">
        <v>282</v>
      </c>
      <c r="B283" s="1" t="n">
        <v>116088</v>
      </c>
      <c r="C283" s="1" t="n">
        <v>1090</v>
      </c>
      <c r="D283" s="1" t="n">
        <v>0</v>
      </c>
      <c r="E283" s="1" t="n">
        <v>10</v>
      </c>
      <c r="F283" s="1" t="n">
        <v>778.56</v>
      </c>
      <c r="G283" s="1" t="n">
        <v>0.94</v>
      </c>
      <c r="H283" s="1" t="n">
        <v>0</v>
      </c>
      <c r="I283" s="1" t="n">
        <v>0</v>
      </c>
      <c r="J283" s="1" t="n">
        <v>0</v>
      </c>
      <c r="K283" s="1" t="str">
        <f aca="false">IFERROR(F283/D283,"")</f>
        <v/>
      </c>
    </row>
    <row r="284" customFormat="false" ht="12.8" hidden="false" customHeight="false" outlineLevel="0" collapsed="false">
      <c r="A284" s="1" t="n">
        <v>283</v>
      </c>
      <c r="B284" s="1" t="n">
        <v>102104</v>
      </c>
      <c r="C284" s="1" t="n">
        <v>1257</v>
      </c>
      <c r="D284" s="1" t="n">
        <v>1823.62</v>
      </c>
      <c r="E284" s="1" t="n">
        <v>3</v>
      </c>
      <c r="F284" s="1" t="n">
        <v>685.49</v>
      </c>
      <c r="G284" s="1" t="n">
        <v>1.23</v>
      </c>
      <c r="H284" s="1" t="n">
        <v>1.45</v>
      </c>
      <c r="I284" s="1" t="n">
        <v>17.86</v>
      </c>
      <c r="J284" s="1" t="n">
        <v>607.87</v>
      </c>
      <c r="K284" s="1" t="n">
        <f aca="false">IFERROR(F284/D284,"")</f>
        <v>0.375895197464384</v>
      </c>
    </row>
    <row r="285" customFormat="false" ht="12.8" hidden="false" customHeight="false" outlineLevel="0" collapsed="false">
      <c r="A285" s="1" t="n">
        <v>284</v>
      </c>
      <c r="B285" s="1" t="n">
        <v>286883</v>
      </c>
      <c r="C285" s="1" t="n">
        <v>2561</v>
      </c>
      <c r="D285" s="1" t="n">
        <v>0</v>
      </c>
      <c r="E285" s="1" t="n">
        <v>21</v>
      </c>
      <c r="F285" s="1" t="n">
        <v>1305.81</v>
      </c>
      <c r="G285" s="1" t="n">
        <v>0.89</v>
      </c>
      <c r="H285" s="1" t="n">
        <v>0</v>
      </c>
      <c r="I285" s="1" t="n">
        <v>0</v>
      </c>
      <c r="J285" s="1" t="n">
        <v>0</v>
      </c>
      <c r="K285" s="1" t="str">
        <f aca="false">IFERROR(F285/D285,"")</f>
        <v/>
      </c>
    </row>
    <row r="286" customFormat="false" ht="12.8" hidden="false" customHeight="false" outlineLevel="0" collapsed="false">
      <c r="A286" s="1" t="n">
        <v>285</v>
      </c>
      <c r="B286" s="1" t="n">
        <v>14658</v>
      </c>
      <c r="C286" s="1" t="n">
        <v>310</v>
      </c>
      <c r="D286" s="1" t="n">
        <v>433.23</v>
      </c>
      <c r="E286" s="1" t="n">
        <v>1</v>
      </c>
      <c r="F286" s="1" t="n">
        <v>27.08</v>
      </c>
      <c r="G286" s="1" t="n">
        <v>2.11</v>
      </c>
      <c r="H286" s="1" t="n">
        <v>1.4</v>
      </c>
      <c r="I286" s="1" t="n">
        <v>29.56</v>
      </c>
      <c r="J286" s="1" t="n">
        <v>433.23</v>
      </c>
      <c r="K286" s="1" t="n">
        <f aca="false">IFERROR(F286/D286,"")</f>
        <v>0.0625072132585463</v>
      </c>
    </row>
    <row r="287" customFormat="false" ht="12.8" hidden="false" customHeight="false" outlineLevel="0" collapsed="false">
      <c r="A287" s="1" t="n">
        <v>286</v>
      </c>
      <c r="B287" s="1" t="n">
        <v>3029</v>
      </c>
      <c r="C287" s="1" t="n">
        <v>56</v>
      </c>
      <c r="D287" s="1" t="n">
        <v>46.92</v>
      </c>
      <c r="E287" s="1" t="n">
        <v>1</v>
      </c>
      <c r="F287" s="1" t="n">
        <v>28.74</v>
      </c>
      <c r="G287" s="1" t="n">
        <v>1.85</v>
      </c>
      <c r="H287" s="1" t="n">
        <v>0.84</v>
      </c>
      <c r="I287" s="1" t="n">
        <v>15.49</v>
      </c>
      <c r="J287" s="1" t="n">
        <v>46.92</v>
      </c>
      <c r="K287" s="1" t="n">
        <f aca="false">IFERROR(F287/D287,"")</f>
        <v>0.612531969309463</v>
      </c>
    </row>
    <row r="288" customFormat="false" ht="12.8" hidden="false" customHeight="false" outlineLevel="0" collapsed="false">
      <c r="A288" s="1" t="n">
        <v>287</v>
      </c>
      <c r="B288" s="1" t="n">
        <v>565512</v>
      </c>
      <c r="C288" s="1" t="n">
        <v>1773</v>
      </c>
      <c r="D288" s="1" t="n">
        <v>2992.8</v>
      </c>
      <c r="E288" s="1" t="n">
        <v>17</v>
      </c>
      <c r="F288" s="1" t="n">
        <v>704.46</v>
      </c>
      <c r="G288" s="1" t="n">
        <v>0.31</v>
      </c>
      <c r="H288" s="1" t="n">
        <v>1.69</v>
      </c>
      <c r="I288" s="1" t="n">
        <v>5.29</v>
      </c>
      <c r="J288" s="1" t="n">
        <v>176.05</v>
      </c>
      <c r="K288" s="1" t="n">
        <f aca="false">IFERROR(F288/D288,"")</f>
        <v>0.235384923817161</v>
      </c>
    </row>
    <row r="289" customFormat="false" ht="12.8" hidden="false" customHeight="false" outlineLevel="0" collapsed="false">
      <c r="A289" s="1" t="n">
        <v>288</v>
      </c>
      <c r="B289" s="1" t="n">
        <v>420847</v>
      </c>
      <c r="C289" s="1" t="n">
        <v>2942</v>
      </c>
      <c r="D289" s="1" t="n">
        <v>4299.82</v>
      </c>
      <c r="E289" s="1" t="n">
        <v>33</v>
      </c>
      <c r="F289" s="1" t="n">
        <v>2687.91</v>
      </c>
      <c r="G289" s="1" t="n">
        <v>0.7</v>
      </c>
      <c r="H289" s="1" t="n">
        <v>1.46</v>
      </c>
      <c r="I289" s="1" t="n">
        <v>10.22</v>
      </c>
      <c r="J289" s="1" t="n">
        <v>130.3</v>
      </c>
      <c r="K289" s="1" t="n">
        <f aca="false">IFERROR(F289/D289,"")</f>
        <v>0.625121516714653</v>
      </c>
    </row>
    <row r="290" customFormat="false" ht="12.8" hidden="false" customHeight="false" outlineLevel="0" collapsed="false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K290" s="1" t="str">
        <f aca="false">IFERROR(F290/D290,"")</f>
        <v/>
      </c>
    </row>
    <row r="291" customFormat="false" ht="12.8" hidden="false" customHeight="false" outlineLevel="0" collapsed="false">
      <c r="A291" s="1" t="n">
        <v>290</v>
      </c>
      <c r="B291" s="1" t="n">
        <v>1126922</v>
      </c>
      <c r="C291" s="1" t="n">
        <v>6619</v>
      </c>
      <c r="D291" s="1" t="n">
        <v>9629.17</v>
      </c>
      <c r="E291" s="1" t="n">
        <v>78</v>
      </c>
      <c r="F291" s="1" t="n">
        <v>5929.7</v>
      </c>
      <c r="G291" s="1" t="n">
        <v>0.59</v>
      </c>
      <c r="H291" s="1" t="n">
        <v>1.45</v>
      </c>
      <c r="I291" s="1" t="n">
        <v>8.54</v>
      </c>
      <c r="J291" s="1" t="n">
        <v>123.45</v>
      </c>
      <c r="K291" s="1" t="n">
        <f aca="false">IFERROR(F291/D291,"")</f>
        <v>0.615805931352339</v>
      </c>
    </row>
    <row r="292" customFormat="false" ht="12.8" hidden="false" customHeight="false" outlineLevel="0" collapsed="false">
      <c r="A292" s="1" t="n">
        <v>291</v>
      </c>
      <c r="B292" s="1" t="n">
        <v>624394</v>
      </c>
      <c r="C292" s="1" t="n">
        <v>4904</v>
      </c>
      <c r="D292" s="1" t="n">
        <v>0</v>
      </c>
      <c r="E292" s="1" t="n">
        <v>41</v>
      </c>
      <c r="F292" s="1" t="n">
        <v>2849.25</v>
      </c>
      <c r="G292" s="1" t="n">
        <v>0.79</v>
      </c>
      <c r="H292" s="1" t="n">
        <v>0</v>
      </c>
      <c r="I292" s="1" t="n">
        <v>0</v>
      </c>
      <c r="J292" s="1" t="n">
        <v>0</v>
      </c>
      <c r="K292" s="1" t="str">
        <f aca="false">IFERROR(F292/D292,"")</f>
        <v/>
      </c>
    </row>
    <row r="293" customFormat="false" ht="12.8" hidden="false" customHeight="false" outlineLevel="0" collapsed="false">
      <c r="A293" s="1" t="n">
        <v>292</v>
      </c>
      <c r="B293" s="1" t="n">
        <v>58075</v>
      </c>
      <c r="C293" s="1" t="n">
        <v>754</v>
      </c>
      <c r="D293" s="1" t="n">
        <v>1030.34</v>
      </c>
      <c r="E293" s="1" t="n">
        <v>7</v>
      </c>
      <c r="F293" s="1" t="n">
        <v>523.34</v>
      </c>
      <c r="G293" s="1" t="n">
        <v>1.3</v>
      </c>
      <c r="H293" s="1" t="n">
        <v>1.37</v>
      </c>
      <c r="I293" s="1" t="n">
        <v>17.74</v>
      </c>
      <c r="J293" s="1" t="n">
        <v>147.19</v>
      </c>
      <c r="K293" s="1" t="n">
        <f aca="false">IFERROR(F293/D293,"")</f>
        <v>0.507929421356057</v>
      </c>
    </row>
    <row r="294" customFormat="false" ht="12.8" hidden="false" customHeight="false" outlineLevel="0" collapsed="false">
      <c r="A294" s="1" t="n">
        <v>293</v>
      </c>
      <c r="B294" s="1" t="n">
        <v>6375578</v>
      </c>
      <c r="C294" s="1" t="n">
        <v>15746</v>
      </c>
      <c r="D294" s="1" t="n">
        <v>21986.48</v>
      </c>
      <c r="E294" s="1" t="n">
        <v>167</v>
      </c>
      <c r="F294" s="1" t="n">
        <v>12737.21</v>
      </c>
      <c r="G294" s="1" t="n">
        <v>0.25</v>
      </c>
      <c r="H294" s="1" t="n">
        <v>1.4</v>
      </c>
      <c r="I294" s="1" t="n">
        <v>3.45</v>
      </c>
      <c r="J294" s="1" t="n">
        <v>131.66</v>
      </c>
      <c r="K294" s="1" t="n">
        <f aca="false">IFERROR(F294/D294,"")</f>
        <v>0.57932010944908</v>
      </c>
    </row>
    <row r="295" customFormat="false" ht="12.8" hidden="false" customHeight="false" outlineLevel="0" collapsed="false">
      <c r="A295" s="1" t="n">
        <v>294</v>
      </c>
      <c r="B295" s="1" t="n">
        <v>39137</v>
      </c>
      <c r="C295" s="1" t="n">
        <v>724</v>
      </c>
      <c r="D295" s="1" t="n">
        <v>955.57</v>
      </c>
      <c r="E295" s="1" t="n">
        <v>2</v>
      </c>
      <c r="F295" s="1" t="n">
        <v>90.59</v>
      </c>
      <c r="G295" s="1" t="n">
        <v>1.85</v>
      </c>
      <c r="H295" s="1" t="n">
        <v>1.32</v>
      </c>
      <c r="I295" s="1" t="n">
        <v>24.42</v>
      </c>
      <c r="J295" s="1" t="n">
        <v>477.79</v>
      </c>
      <c r="K295" s="1" t="n">
        <f aca="false">IFERROR(F295/D295,"")</f>
        <v>0.0948020553177685</v>
      </c>
    </row>
    <row r="296" customFormat="false" ht="12.8" hidden="false" customHeight="false" outlineLevel="0" collapsed="false">
      <c r="A296" s="1" t="n">
        <v>295</v>
      </c>
      <c r="B296" s="1" t="n">
        <v>591848</v>
      </c>
      <c r="C296" s="1" t="n">
        <v>5025</v>
      </c>
      <c r="D296" s="1" t="n">
        <v>0</v>
      </c>
      <c r="E296" s="1" t="n">
        <v>61</v>
      </c>
      <c r="F296" s="1" t="n">
        <v>4891.32</v>
      </c>
      <c r="G296" s="1" t="n">
        <v>0.85</v>
      </c>
      <c r="H296" s="1" t="n">
        <v>0</v>
      </c>
      <c r="I296" s="1" t="n">
        <v>0</v>
      </c>
      <c r="J296" s="1" t="n">
        <v>0</v>
      </c>
      <c r="K296" s="1" t="str">
        <f aca="false">IFERROR(F296/D296,"")</f>
        <v/>
      </c>
    </row>
    <row r="297" customFormat="false" ht="12.8" hidden="false" customHeight="false" outlineLevel="0" collapsed="false">
      <c r="A297" s="1" t="n">
        <v>296</v>
      </c>
      <c r="B297" s="1" t="n">
        <v>14889</v>
      </c>
      <c r="C297" s="1" t="n">
        <v>379</v>
      </c>
      <c r="D297" s="1" t="n">
        <v>519.78</v>
      </c>
      <c r="E297" s="1" t="n">
        <v>0</v>
      </c>
      <c r="F297" s="1" t="n">
        <v>0</v>
      </c>
      <c r="G297" s="1" t="n">
        <v>2.55</v>
      </c>
      <c r="H297" s="1" t="n">
        <v>1.37</v>
      </c>
      <c r="I297" s="1" t="n">
        <v>34.91</v>
      </c>
      <c r="K297" s="1" t="n">
        <f aca="false">IFERROR(F297/D297,"")</f>
        <v>0</v>
      </c>
    </row>
    <row r="298" customFormat="false" ht="12.8" hidden="false" customHeight="false" outlineLevel="0" collapsed="false">
      <c r="A298" s="1" t="n">
        <v>297</v>
      </c>
      <c r="B298" s="1" t="n">
        <v>740686</v>
      </c>
      <c r="C298" s="1" t="n">
        <v>4132</v>
      </c>
      <c r="D298" s="1" t="n">
        <v>5912.34</v>
      </c>
      <c r="E298" s="1" t="n">
        <v>39</v>
      </c>
      <c r="F298" s="1" t="n">
        <v>2259.23</v>
      </c>
      <c r="G298" s="1" t="n">
        <v>0.56</v>
      </c>
      <c r="H298" s="1" t="n">
        <v>1.43</v>
      </c>
      <c r="I298" s="1" t="n">
        <v>7.98</v>
      </c>
      <c r="J298" s="1" t="n">
        <v>151.6</v>
      </c>
      <c r="K298" s="1" t="n">
        <f aca="false">IFERROR(F298/D298,"")</f>
        <v>0.382121122939479</v>
      </c>
    </row>
    <row r="299" customFormat="false" ht="12.8" hidden="false" customHeight="false" outlineLevel="0" collapsed="false">
      <c r="A299" s="1" t="n">
        <v>298</v>
      </c>
      <c r="B299" s="1" t="n">
        <v>134098</v>
      </c>
      <c r="C299" s="1" t="n">
        <v>614</v>
      </c>
      <c r="D299" s="1" t="n">
        <v>725.7</v>
      </c>
      <c r="E299" s="1" t="n">
        <v>7</v>
      </c>
      <c r="F299" s="1" t="n">
        <v>809.23</v>
      </c>
      <c r="G299" s="1" t="n">
        <v>0.46</v>
      </c>
      <c r="H299" s="1" t="n">
        <v>1.18</v>
      </c>
      <c r="I299" s="1" t="n">
        <v>5.41</v>
      </c>
      <c r="J299" s="1" t="n">
        <v>103.67</v>
      </c>
      <c r="K299" s="1" t="n">
        <f aca="false">IFERROR(F299/D299,"")</f>
        <v>1.11510265950117</v>
      </c>
    </row>
    <row r="300" customFormat="false" ht="12.8" hidden="false" customHeight="false" outlineLevel="0" collapsed="false">
      <c r="A300" s="1" t="n">
        <v>299</v>
      </c>
      <c r="B300" s="1" t="n">
        <v>49839</v>
      </c>
      <c r="C300" s="1" t="n">
        <v>658</v>
      </c>
      <c r="D300" s="1" t="n">
        <v>792.92</v>
      </c>
      <c r="E300" s="1" t="n">
        <v>6</v>
      </c>
      <c r="F300" s="1" t="n">
        <v>660.28</v>
      </c>
      <c r="G300" s="1" t="n">
        <v>1.32</v>
      </c>
      <c r="H300" s="1" t="n">
        <v>1.21</v>
      </c>
      <c r="I300" s="1" t="n">
        <v>15.91</v>
      </c>
      <c r="J300" s="1" t="n">
        <v>132.15</v>
      </c>
      <c r="K300" s="1" t="n">
        <f aca="false">IFERROR(F300/D300,"")</f>
        <v>0.832719568178379</v>
      </c>
    </row>
    <row r="301" customFormat="false" ht="12.8" hidden="false" customHeight="false" outlineLevel="0" collapsed="false">
      <c r="A301" s="1" t="n">
        <v>300</v>
      </c>
      <c r="B301" s="1" t="n">
        <v>67017</v>
      </c>
      <c r="C301" s="1" t="n">
        <v>831</v>
      </c>
      <c r="D301" s="1" t="n">
        <v>1085.13</v>
      </c>
      <c r="E301" s="1" t="n">
        <v>15</v>
      </c>
      <c r="F301" s="1" t="n">
        <v>926.52</v>
      </c>
      <c r="G301" s="1" t="n">
        <v>1.24</v>
      </c>
      <c r="H301" s="1" t="n">
        <v>1.31</v>
      </c>
      <c r="I301" s="1" t="n">
        <v>16.19</v>
      </c>
      <c r="J301" s="1" t="n">
        <v>72.34</v>
      </c>
      <c r="K301" s="1" t="n">
        <f aca="false">IFERROR(F301/D301,"")</f>
        <v>0.853833181277819</v>
      </c>
    </row>
    <row r="302" customFormat="false" ht="12.8" hidden="false" customHeight="false" outlineLevel="0" collapsed="false">
      <c r="A302" s="1" t="n">
        <v>301</v>
      </c>
      <c r="B302" s="1" t="n">
        <v>591289</v>
      </c>
      <c r="C302" s="1" t="n">
        <v>4123</v>
      </c>
      <c r="D302" s="1" t="n">
        <v>5685.91</v>
      </c>
      <c r="E302" s="1" t="n">
        <v>40</v>
      </c>
      <c r="F302" s="1" t="n">
        <v>3068.43</v>
      </c>
      <c r="G302" s="1" t="n">
        <v>0.7</v>
      </c>
      <c r="H302" s="1" t="n">
        <v>1.38</v>
      </c>
      <c r="I302" s="1" t="n">
        <v>9.62</v>
      </c>
      <c r="J302" s="1" t="n">
        <v>142.15</v>
      </c>
      <c r="K302" s="1" t="n">
        <f aca="false">IFERROR(F302/D302,"")</f>
        <v>0.539655042024935</v>
      </c>
    </row>
    <row r="303" customFormat="false" ht="12.8" hidden="false" customHeight="false" outlineLevel="0" collapsed="false">
      <c r="A303" s="1" t="n">
        <v>302</v>
      </c>
      <c r="B303" s="1" t="n">
        <v>157832</v>
      </c>
      <c r="C303" s="1" t="n">
        <v>799</v>
      </c>
      <c r="D303" s="1" t="n">
        <v>1181.8</v>
      </c>
      <c r="E303" s="1" t="n">
        <v>8</v>
      </c>
      <c r="F303" s="1" t="n">
        <v>582.31</v>
      </c>
      <c r="G303" s="1" t="n">
        <v>0.51</v>
      </c>
      <c r="H303" s="1" t="n">
        <v>1.48</v>
      </c>
      <c r="I303" s="1" t="n">
        <v>7.49</v>
      </c>
      <c r="J303" s="1" t="n">
        <v>147.73</v>
      </c>
      <c r="K303" s="1" t="n">
        <f aca="false">IFERROR(F303/D303,"")</f>
        <v>0.492731426637333</v>
      </c>
    </row>
    <row r="304" customFormat="false" ht="12.8" hidden="false" customHeight="false" outlineLevel="0" collapsed="false">
      <c r="A304" s="1" t="n">
        <v>303</v>
      </c>
      <c r="B304" s="1" t="n">
        <v>21005</v>
      </c>
      <c r="C304" s="1" t="n">
        <v>384</v>
      </c>
      <c r="D304" s="1" t="n">
        <v>529.35</v>
      </c>
      <c r="E304" s="1" t="n">
        <v>0</v>
      </c>
      <c r="F304" s="1" t="n">
        <v>0</v>
      </c>
      <c r="G304" s="1" t="n">
        <v>1.83</v>
      </c>
      <c r="H304" s="1" t="n">
        <v>1.38</v>
      </c>
      <c r="I304" s="1" t="n">
        <v>25.2</v>
      </c>
      <c r="K304" s="1" t="n">
        <f aca="false">IFERROR(F304/D304,"")</f>
        <v>0</v>
      </c>
    </row>
    <row r="305" customFormat="false" ht="12.8" hidden="false" customHeight="false" outlineLevel="0" collapsed="false">
      <c r="A305" s="1" t="n">
        <v>304</v>
      </c>
      <c r="B305" s="1" t="n">
        <v>41903</v>
      </c>
      <c r="C305" s="1" t="n">
        <v>801</v>
      </c>
      <c r="D305" s="1" t="n">
        <v>1170.36</v>
      </c>
      <c r="E305" s="1" t="n">
        <v>7</v>
      </c>
      <c r="F305" s="1" t="n">
        <v>366.71</v>
      </c>
      <c r="G305" s="1" t="n">
        <v>1.91</v>
      </c>
      <c r="H305" s="1" t="n">
        <v>1.46</v>
      </c>
      <c r="I305" s="1" t="n">
        <v>27.93</v>
      </c>
      <c r="J305" s="1" t="n">
        <v>167.19</v>
      </c>
      <c r="K305" s="1" t="n">
        <f aca="false">IFERROR(F305/D305,"")</f>
        <v>0.313330940907071</v>
      </c>
    </row>
    <row r="306" customFormat="false" ht="12.8" hidden="false" customHeight="false" outlineLevel="0" collapsed="false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K306" s="1" t="str">
        <f aca="false">IFERROR(F306/D306,"")</f>
        <v/>
      </c>
    </row>
    <row r="307" customFormat="false" ht="12.8" hidden="false" customHeight="false" outlineLevel="0" collapsed="false">
      <c r="A307" s="1" t="n">
        <v>306</v>
      </c>
      <c r="B307" s="1" t="n">
        <v>260123</v>
      </c>
      <c r="C307" s="1" t="n">
        <v>1120</v>
      </c>
      <c r="D307" s="1" t="n">
        <v>0</v>
      </c>
      <c r="E307" s="1" t="n">
        <v>10</v>
      </c>
      <c r="F307" s="1" t="n">
        <v>604.62</v>
      </c>
      <c r="G307" s="1" t="n">
        <v>0.43</v>
      </c>
      <c r="H307" s="1" t="n">
        <v>0</v>
      </c>
      <c r="I307" s="1" t="n">
        <v>0</v>
      </c>
      <c r="J307" s="1" t="n">
        <v>0</v>
      </c>
      <c r="K307" s="1" t="str">
        <f aca="false">IFERROR(F307/D307,"")</f>
        <v/>
      </c>
    </row>
    <row r="308" customFormat="false" ht="12.8" hidden="false" customHeight="false" outlineLevel="0" collapsed="false">
      <c r="A308" s="1" t="n">
        <v>307</v>
      </c>
      <c r="B308" s="1" t="n">
        <v>211985</v>
      </c>
      <c r="C308" s="1" t="n">
        <v>2465</v>
      </c>
      <c r="D308" s="1" t="n">
        <v>0</v>
      </c>
      <c r="E308" s="1" t="n">
        <v>11</v>
      </c>
      <c r="F308" s="1" t="n">
        <v>550.19</v>
      </c>
      <c r="G308" s="1" t="n">
        <v>1.16</v>
      </c>
      <c r="H308" s="1" t="n">
        <v>0</v>
      </c>
      <c r="I308" s="1" t="n">
        <v>0</v>
      </c>
      <c r="J308" s="1" t="n">
        <v>0</v>
      </c>
      <c r="K308" s="1" t="str">
        <f aca="false">IFERROR(F308/D308,"")</f>
        <v/>
      </c>
    </row>
    <row r="309" customFormat="false" ht="12.8" hidden="false" customHeight="false" outlineLevel="0" collapsed="false">
      <c r="A309" s="1" t="n">
        <v>308</v>
      </c>
      <c r="B309" s="1" t="n">
        <v>135275</v>
      </c>
      <c r="C309" s="1" t="n">
        <v>1458</v>
      </c>
      <c r="D309" s="1" t="n">
        <v>2322.61</v>
      </c>
      <c r="E309" s="1" t="n">
        <v>9</v>
      </c>
      <c r="F309" s="1" t="n">
        <v>699.99</v>
      </c>
      <c r="G309" s="1" t="n">
        <v>1.08</v>
      </c>
      <c r="H309" s="1" t="n">
        <v>1.59</v>
      </c>
      <c r="I309" s="1" t="n">
        <v>17.17</v>
      </c>
      <c r="J309" s="1" t="n">
        <v>258.07</v>
      </c>
      <c r="K309" s="1" t="n">
        <f aca="false">IFERROR(F309/D309,"")</f>
        <v>0.301380774215215</v>
      </c>
    </row>
    <row r="310" customFormat="false" ht="12.8" hidden="false" customHeight="false" outlineLevel="0" collapsed="false">
      <c r="A310" s="1" t="n">
        <v>309</v>
      </c>
      <c r="B310" s="1" t="n">
        <v>705078</v>
      </c>
      <c r="C310" s="1" t="n">
        <v>3448</v>
      </c>
      <c r="D310" s="1" t="n">
        <v>4999.59</v>
      </c>
      <c r="E310" s="1" t="n">
        <v>41</v>
      </c>
      <c r="F310" s="1" t="n">
        <v>3026.91</v>
      </c>
      <c r="G310" s="1" t="n">
        <v>0.49</v>
      </c>
      <c r="H310" s="1" t="n">
        <v>1.45</v>
      </c>
      <c r="I310" s="1" t="n">
        <v>7.09</v>
      </c>
      <c r="J310" s="1" t="n">
        <v>121.94</v>
      </c>
      <c r="K310" s="1" t="n">
        <f aca="false">IFERROR(F310/D310,"")</f>
        <v>0.605431645394922</v>
      </c>
    </row>
    <row r="311" customFormat="false" ht="12.8" hidden="false" customHeight="false" outlineLevel="0" collapsed="false">
      <c r="A311" s="1" t="n">
        <v>310</v>
      </c>
      <c r="B311" s="1" t="n">
        <v>43601</v>
      </c>
      <c r="C311" s="1" t="n">
        <v>449</v>
      </c>
      <c r="D311" s="1" t="n">
        <v>0</v>
      </c>
      <c r="E311" s="1" t="n">
        <v>3</v>
      </c>
      <c r="F311" s="1" t="n">
        <v>109.66</v>
      </c>
      <c r="G311" s="1" t="n">
        <v>1.03</v>
      </c>
      <c r="H311" s="1" t="n">
        <v>0</v>
      </c>
      <c r="I311" s="1" t="n">
        <v>0</v>
      </c>
      <c r="J311" s="1" t="n">
        <v>0</v>
      </c>
      <c r="K311" s="1" t="str">
        <f aca="false">IFERROR(F311/D311,"")</f>
        <v/>
      </c>
    </row>
    <row r="312" customFormat="false" ht="12.8" hidden="false" customHeight="false" outlineLevel="0" collapsed="false">
      <c r="A312" s="1" t="n">
        <v>311</v>
      </c>
      <c r="B312" s="1" t="n">
        <v>1411063</v>
      </c>
      <c r="C312" s="1" t="n">
        <v>4198</v>
      </c>
      <c r="D312" s="1" t="n">
        <v>5720.88</v>
      </c>
      <c r="E312" s="1" t="n">
        <v>51</v>
      </c>
      <c r="F312" s="1" t="n">
        <v>3891.71</v>
      </c>
      <c r="G312" s="1" t="n">
        <v>0.3</v>
      </c>
      <c r="H312" s="1" t="n">
        <v>1.36</v>
      </c>
      <c r="I312" s="1" t="n">
        <v>4.05</v>
      </c>
      <c r="J312" s="1" t="n">
        <v>112.17</v>
      </c>
      <c r="K312" s="1" t="n">
        <f aca="false">IFERROR(F312/D312,"")</f>
        <v>0.680264225084253</v>
      </c>
    </row>
    <row r="313" customFormat="false" ht="12.8" hidden="false" customHeight="false" outlineLevel="0" collapsed="false">
      <c r="A313" s="1" t="n">
        <v>312</v>
      </c>
      <c r="B313" s="1" t="n">
        <v>115384</v>
      </c>
      <c r="C313" s="1" t="n">
        <v>839</v>
      </c>
      <c r="D313" s="1" t="n">
        <v>1130.48</v>
      </c>
      <c r="E313" s="1" t="n">
        <v>16</v>
      </c>
      <c r="F313" s="1" t="n">
        <v>1755.73</v>
      </c>
      <c r="G313" s="1" t="n">
        <v>0.73</v>
      </c>
      <c r="H313" s="1" t="n">
        <v>1.35</v>
      </c>
      <c r="I313" s="1" t="n">
        <v>9.8</v>
      </c>
      <c r="J313" s="1" t="n">
        <v>70.66</v>
      </c>
      <c r="K313" s="1" t="n">
        <f aca="false">IFERROR(F313/D313,"")</f>
        <v>1.55308364588493</v>
      </c>
    </row>
    <row r="314" customFormat="false" ht="12.8" hidden="false" customHeight="false" outlineLevel="0" collapsed="false">
      <c r="A314" s="1" t="n">
        <v>313</v>
      </c>
      <c r="B314" s="1" t="n">
        <v>761355</v>
      </c>
      <c r="C314" s="1" t="n">
        <v>3311</v>
      </c>
      <c r="D314" s="1" t="n">
        <v>4872.66</v>
      </c>
      <c r="E314" s="1" t="n">
        <v>46</v>
      </c>
      <c r="F314" s="1" t="n">
        <v>2813.97</v>
      </c>
      <c r="G314" s="1" t="n">
        <v>0.43</v>
      </c>
      <c r="H314" s="1" t="n">
        <v>1.47</v>
      </c>
      <c r="I314" s="1" t="n">
        <v>6.4</v>
      </c>
      <c r="J314" s="1" t="n">
        <v>105.93</v>
      </c>
      <c r="K314" s="1" t="n">
        <f aca="false">IFERROR(F314/D314,"")</f>
        <v>0.577501816256418</v>
      </c>
    </row>
    <row r="315" customFormat="false" ht="12.8" hidden="false" customHeight="false" outlineLevel="0" collapsed="false">
      <c r="A315" s="1" t="n">
        <v>314</v>
      </c>
      <c r="B315" s="1" t="n">
        <v>128389</v>
      </c>
      <c r="C315" s="1" t="n">
        <v>938</v>
      </c>
      <c r="D315" s="1" t="n">
        <v>1300.6</v>
      </c>
      <c r="E315" s="1" t="n">
        <v>8</v>
      </c>
      <c r="F315" s="1" t="n">
        <v>636.6</v>
      </c>
      <c r="G315" s="1" t="n">
        <v>0.73</v>
      </c>
      <c r="H315" s="1" t="n">
        <v>1.39</v>
      </c>
      <c r="I315" s="1" t="n">
        <v>10.13</v>
      </c>
      <c r="J315" s="1" t="n">
        <v>162.58</v>
      </c>
      <c r="K315" s="1" t="n">
        <f aca="false">IFERROR(F315/D315,"")</f>
        <v>0.48946640012302</v>
      </c>
    </row>
    <row r="316" customFormat="false" ht="12.8" hidden="false" customHeight="false" outlineLevel="0" collapsed="false">
      <c r="A316" s="1" t="n">
        <v>315</v>
      </c>
      <c r="B316" s="1" t="n">
        <v>1715897</v>
      </c>
      <c r="C316" s="1" t="n">
        <v>6145</v>
      </c>
      <c r="D316" s="1" t="n">
        <v>8441.16</v>
      </c>
      <c r="E316" s="1" t="n">
        <v>95</v>
      </c>
      <c r="F316" s="1" t="n">
        <v>7013.59</v>
      </c>
      <c r="G316" s="1" t="n">
        <v>0.36</v>
      </c>
      <c r="H316" s="1" t="n">
        <v>1.37</v>
      </c>
      <c r="I316" s="1" t="n">
        <v>4.92</v>
      </c>
      <c r="J316" s="1" t="n">
        <v>88.85</v>
      </c>
      <c r="K316" s="1" t="n">
        <f aca="false">IFERROR(F316/D316,"")</f>
        <v>0.830879879068754</v>
      </c>
    </row>
    <row r="317" customFormat="false" ht="12.8" hidden="false" customHeight="false" outlineLevel="0" collapsed="false">
      <c r="A317" s="1" t="n">
        <v>316</v>
      </c>
      <c r="B317" s="1" t="n">
        <v>406686</v>
      </c>
      <c r="C317" s="1" t="n">
        <v>1902</v>
      </c>
      <c r="D317" s="1" t="n">
        <v>2754.14</v>
      </c>
      <c r="E317" s="1" t="n">
        <v>23</v>
      </c>
      <c r="F317" s="1" t="n">
        <v>1566.05</v>
      </c>
      <c r="G317" s="1" t="n">
        <v>0.47</v>
      </c>
      <c r="H317" s="1" t="n">
        <v>1.45</v>
      </c>
      <c r="I317" s="1" t="n">
        <v>6.77</v>
      </c>
      <c r="J317" s="1" t="n">
        <v>119.75</v>
      </c>
      <c r="K317" s="1" t="n">
        <f aca="false">IFERROR(F317/D317,"")</f>
        <v>0.568616700676073</v>
      </c>
    </row>
    <row r="318" customFormat="false" ht="12.8" hidden="false" customHeight="false" outlineLevel="0" collapsed="false">
      <c r="A318" s="1" t="n">
        <v>317</v>
      </c>
      <c r="B318" s="1" t="n">
        <v>459883</v>
      </c>
      <c r="C318" s="1" t="n">
        <v>2740</v>
      </c>
      <c r="D318" s="1" t="n">
        <v>4084.05</v>
      </c>
      <c r="E318" s="1" t="n">
        <v>34</v>
      </c>
      <c r="F318" s="1" t="n">
        <v>2793.99</v>
      </c>
      <c r="G318" s="1" t="n">
        <v>0.6</v>
      </c>
      <c r="H318" s="1" t="n">
        <v>1.49</v>
      </c>
      <c r="I318" s="1" t="n">
        <v>8.88</v>
      </c>
      <c r="J318" s="1" t="n">
        <v>120.12</v>
      </c>
      <c r="K318" s="1" t="n">
        <f aca="false">IFERROR(F318/D318,"")</f>
        <v>0.684122378521321</v>
      </c>
    </row>
    <row r="319" customFormat="false" ht="12.8" hidden="false" customHeight="false" outlineLevel="0" collapsed="false">
      <c r="A319" s="1" t="n">
        <v>318</v>
      </c>
      <c r="B319" s="1" t="n">
        <v>10476</v>
      </c>
      <c r="C319" s="1" t="n">
        <v>180</v>
      </c>
      <c r="D319" s="1" t="n">
        <v>216.96</v>
      </c>
      <c r="E319" s="1" t="n">
        <v>0</v>
      </c>
      <c r="F319" s="1" t="n">
        <v>0</v>
      </c>
      <c r="G319" s="1" t="n">
        <v>1.72</v>
      </c>
      <c r="H319" s="1" t="n">
        <v>1.21</v>
      </c>
      <c r="I319" s="1" t="n">
        <v>20.71</v>
      </c>
      <c r="K319" s="1" t="n">
        <f aca="false">IFERROR(F319/D319,"")</f>
        <v>0</v>
      </c>
    </row>
    <row r="320" customFormat="false" ht="12.8" hidden="false" customHeight="false" outlineLevel="0" collapsed="false">
      <c r="A320" s="1" t="n">
        <v>319</v>
      </c>
      <c r="B320" s="1" t="n">
        <v>255665</v>
      </c>
      <c r="C320" s="1" t="n">
        <v>1527</v>
      </c>
      <c r="D320" s="1" t="n">
        <v>0</v>
      </c>
      <c r="E320" s="1" t="n">
        <v>19</v>
      </c>
      <c r="F320" s="1" t="n">
        <v>1413.29</v>
      </c>
      <c r="G320" s="1" t="n">
        <v>0.6</v>
      </c>
      <c r="H320" s="1" t="n">
        <v>0</v>
      </c>
      <c r="I320" s="1" t="n">
        <v>0</v>
      </c>
      <c r="J320" s="1" t="n">
        <v>0</v>
      </c>
      <c r="K320" s="1" t="str">
        <f aca="false">IFERROR(F320/D320,"")</f>
        <v/>
      </c>
    </row>
    <row r="321" customFormat="false" ht="12.8" hidden="false" customHeight="false" outlineLevel="0" collapsed="false">
      <c r="A321" s="1" t="n">
        <v>320</v>
      </c>
      <c r="B321" s="1" t="n">
        <v>189509</v>
      </c>
      <c r="C321" s="1" t="n">
        <v>1347</v>
      </c>
      <c r="D321" s="1" t="n">
        <v>0</v>
      </c>
      <c r="E321" s="1" t="n">
        <v>13</v>
      </c>
      <c r="F321" s="1" t="n">
        <v>589.14</v>
      </c>
      <c r="G321" s="1" t="n">
        <v>0.71</v>
      </c>
      <c r="H321" s="1" t="n">
        <v>0</v>
      </c>
      <c r="I321" s="1" t="n">
        <v>0</v>
      </c>
      <c r="J321" s="1" t="n">
        <v>0</v>
      </c>
      <c r="K321" s="1" t="str">
        <f aca="false">IFERROR(F321/D321,"")</f>
        <v/>
      </c>
    </row>
    <row r="322" customFormat="false" ht="12.8" hidden="false" customHeight="false" outlineLevel="0" collapsed="false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K322" s="1" t="str">
        <f aca="false">IFERROR(F322/D322,"")</f>
        <v/>
      </c>
    </row>
    <row r="323" customFormat="false" ht="12.8" hidden="false" customHeight="false" outlineLevel="0" collapsed="false">
      <c r="A323" s="1" t="n">
        <v>322</v>
      </c>
      <c r="B323" s="1" t="n">
        <v>464230</v>
      </c>
      <c r="C323" s="1" t="n">
        <v>3776</v>
      </c>
      <c r="D323" s="1" t="n">
        <v>5574.97</v>
      </c>
      <c r="E323" s="1" t="n">
        <v>38</v>
      </c>
      <c r="F323" s="1" t="n">
        <v>2863.75</v>
      </c>
      <c r="G323" s="1" t="n">
        <v>0.81</v>
      </c>
      <c r="H323" s="1" t="n">
        <v>1.48</v>
      </c>
      <c r="I323" s="1" t="n">
        <v>12.01</v>
      </c>
      <c r="J323" s="1" t="n">
        <v>146.71</v>
      </c>
      <c r="K323" s="1" t="n">
        <f aca="false">IFERROR(F323/D323,"")</f>
        <v>0.513679894241583</v>
      </c>
    </row>
    <row r="324" customFormat="false" ht="12.8" hidden="false" customHeight="false" outlineLevel="0" collapsed="false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K324" s="1" t="str">
        <f aca="false">IFERROR(F324/D324,"")</f>
        <v/>
      </c>
    </row>
    <row r="325" customFormat="false" ht="12.8" hidden="false" customHeight="false" outlineLevel="0" collapsed="false">
      <c r="A325" s="1" t="n">
        <v>324</v>
      </c>
      <c r="B325" s="1" t="n">
        <v>6380</v>
      </c>
      <c r="C325" s="1" t="n">
        <v>142</v>
      </c>
      <c r="D325" s="1" t="n">
        <v>0</v>
      </c>
      <c r="E325" s="1" t="n">
        <v>0</v>
      </c>
      <c r="F325" s="1" t="n">
        <v>0</v>
      </c>
      <c r="G325" s="1" t="n">
        <v>2.23</v>
      </c>
      <c r="H325" s="1" t="n">
        <v>0</v>
      </c>
      <c r="I325" s="1" t="n">
        <v>0</v>
      </c>
      <c r="K325" s="1" t="str">
        <f aca="false">IFERROR(F325/D325,"")</f>
        <v/>
      </c>
    </row>
    <row r="326" customFormat="false" ht="12.8" hidden="false" customHeight="false" outlineLevel="0" collapsed="false">
      <c r="A326" s="1" t="n">
        <v>325</v>
      </c>
      <c r="B326" s="1" t="n">
        <v>1500067</v>
      </c>
      <c r="C326" s="1" t="n">
        <v>5669</v>
      </c>
      <c r="D326" s="1" t="n">
        <v>8631.18</v>
      </c>
      <c r="E326" s="1" t="n">
        <v>56</v>
      </c>
      <c r="F326" s="1" t="n">
        <v>4358.57</v>
      </c>
      <c r="G326" s="1" t="n">
        <v>0.38</v>
      </c>
      <c r="H326" s="1" t="n">
        <v>1.52</v>
      </c>
      <c r="I326" s="1" t="n">
        <v>5.75</v>
      </c>
      <c r="J326" s="1" t="n">
        <v>154.13</v>
      </c>
      <c r="K326" s="1" t="n">
        <f aca="false">IFERROR(F326/D326,"")</f>
        <v>0.504979620399528</v>
      </c>
    </row>
    <row r="327" customFormat="false" ht="12.8" hidden="false" customHeight="false" outlineLevel="0" collapsed="false">
      <c r="A327" s="1" t="n">
        <v>326</v>
      </c>
      <c r="B327" s="1" t="n">
        <v>346915</v>
      </c>
      <c r="C327" s="1" t="n">
        <v>1982</v>
      </c>
      <c r="D327" s="1" t="n">
        <v>0</v>
      </c>
      <c r="E327" s="1" t="n">
        <v>20</v>
      </c>
      <c r="F327" s="1" t="n">
        <v>1513.93</v>
      </c>
      <c r="G327" s="1" t="n">
        <v>0.57</v>
      </c>
      <c r="H327" s="1" t="n">
        <v>0</v>
      </c>
      <c r="I327" s="1" t="n">
        <v>0</v>
      </c>
      <c r="J327" s="1" t="n">
        <v>0</v>
      </c>
      <c r="K327" s="1" t="str">
        <f aca="false">IFERROR(F327/D327,"")</f>
        <v/>
      </c>
    </row>
    <row r="328" customFormat="false" ht="12.8" hidden="false" customHeight="false" outlineLevel="0" collapsed="false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K328" s="1" t="str">
        <f aca="false">IFERROR(F328/D328,"")</f>
        <v/>
      </c>
    </row>
    <row r="329" customFormat="false" ht="12.8" hidden="false" customHeight="false" outlineLevel="0" collapsed="false">
      <c r="A329" s="1" t="n">
        <v>328</v>
      </c>
      <c r="B329" s="1" t="n">
        <v>43259</v>
      </c>
      <c r="C329" s="1" t="n">
        <v>662</v>
      </c>
      <c r="D329" s="1" t="n">
        <v>976.78</v>
      </c>
      <c r="E329" s="1" t="n">
        <v>2</v>
      </c>
      <c r="F329" s="1" t="n">
        <v>130.66</v>
      </c>
      <c r="G329" s="1" t="n">
        <v>1.53</v>
      </c>
      <c r="H329" s="1" t="n">
        <v>1.48</v>
      </c>
      <c r="I329" s="1" t="n">
        <v>22.58</v>
      </c>
      <c r="J329" s="1" t="n">
        <v>488.39</v>
      </c>
      <c r="K329" s="1" t="n">
        <f aca="false">IFERROR(F329/D329,"")</f>
        <v>0.133766047625873</v>
      </c>
    </row>
    <row r="330" customFormat="false" ht="12.8" hidden="false" customHeight="false" outlineLevel="0" collapsed="false">
      <c r="A330" s="1" t="n">
        <v>329</v>
      </c>
      <c r="B330" s="1" t="n">
        <v>146708</v>
      </c>
      <c r="C330" s="1" t="n">
        <v>2119</v>
      </c>
      <c r="D330" s="1" t="n">
        <v>2966.87</v>
      </c>
      <c r="E330" s="1" t="n">
        <v>9</v>
      </c>
      <c r="F330" s="1" t="n">
        <v>515.32</v>
      </c>
      <c r="G330" s="1" t="n">
        <v>1.44</v>
      </c>
      <c r="H330" s="1" t="n">
        <v>1.4</v>
      </c>
      <c r="I330" s="1" t="n">
        <v>20.22</v>
      </c>
      <c r="J330" s="1" t="n">
        <v>329.65</v>
      </c>
      <c r="K330" s="1" t="n">
        <f aca="false">IFERROR(F330/D330,"")</f>
        <v>0.173691466090526</v>
      </c>
    </row>
    <row r="331" customFormat="false" ht="12.8" hidden="false" customHeight="false" outlineLevel="0" collapsed="false">
      <c r="A331" s="1" t="n">
        <v>330</v>
      </c>
      <c r="B331" s="1" t="n">
        <v>90519</v>
      </c>
      <c r="C331" s="1" t="n">
        <v>1086</v>
      </c>
      <c r="D331" s="1" t="n">
        <v>1528.48</v>
      </c>
      <c r="E331" s="1" t="n">
        <v>2</v>
      </c>
      <c r="F331" s="1" t="n">
        <v>146.45</v>
      </c>
      <c r="G331" s="1" t="n">
        <v>1.2</v>
      </c>
      <c r="H331" s="1" t="n">
        <v>1.41</v>
      </c>
      <c r="I331" s="1" t="n">
        <v>16.89</v>
      </c>
      <c r="J331" s="1" t="n">
        <v>764.24</v>
      </c>
      <c r="K331" s="1" t="n">
        <f aca="false">IFERROR(F331/D331,"")</f>
        <v>0.0958141421542971</v>
      </c>
    </row>
    <row r="332" customFormat="false" ht="12.8" hidden="false" customHeight="false" outlineLevel="0" collapsed="false">
      <c r="A332" s="1" t="n">
        <v>331</v>
      </c>
      <c r="B332" s="1" t="n">
        <v>13838</v>
      </c>
      <c r="C332" s="1" t="n">
        <v>139</v>
      </c>
      <c r="D332" s="1" t="n">
        <v>196.55</v>
      </c>
      <c r="E332" s="1" t="n">
        <v>0</v>
      </c>
      <c r="F332" s="1" t="n">
        <v>0</v>
      </c>
      <c r="G332" s="1" t="n">
        <v>1</v>
      </c>
      <c r="H332" s="1" t="n">
        <v>1.41</v>
      </c>
      <c r="I332" s="1" t="n">
        <v>14.2</v>
      </c>
      <c r="K332" s="1" t="n">
        <f aca="false">IFERROR(F332/D332,"")</f>
        <v>0</v>
      </c>
    </row>
    <row r="333" customFormat="false" ht="12.8" hidden="false" customHeight="false" outlineLevel="0" collapsed="false">
      <c r="A333" s="1" t="n">
        <v>332</v>
      </c>
      <c r="B333" s="1" t="n">
        <v>23179</v>
      </c>
      <c r="C333" s="1" t="n">
        <v>274</v>
      </c>
      <c r="D333" s="1" t="n">
        <v>0</v>
      </c>
      <c r="E333" s="1" t="n">
        <v>3</v>
      </c>
      <c r="F333" s="1" t="n">
        <v>166.37</v>
      </c>
      <c r="G333" s="1" t="n">
        <v>1.18</v>
      </c>
      <c r="H333" s="1" t="n">
        <v>0</v>
      </c>
      <c r="I333" s="1" t="n">
        <v>0</v>
      </c>
      <c r="J333" s="1" t="n">
        <v>0</v>
      </c>
      <c r="K333" s="1" t="str">
        <f aca="false">IFERROR(F333/D333,"")</f>
        <v/>
      </c>
    </row>
    <row r="334" customFormat="false" ht="12.8" hidden="false" customHeight="false" outlineLevel="0" collapsed="false">
      <c r="A334" s="1" t="n">
        <v>333</v>
      </c>
      <c r="B334" s="1" t="n">
        <v>3429962</v>
      </c>
      <c r="C334" s="1" t="n">
        <v>7660</v>
      </c>
      <c r="D334" s="1" t="n">
        <v>0</v>
      </c>
      <c r="E334" s="1" t="n">
        <v>114</v>
      </c>
      <c r="F334" s="1" t="n">
        <v>8625.93</v>
      </c>
      <c r="G334" s="1" t="n">
        <v>0.22</v>
      </c>
      <c r="H334" s="1" t="n">
        <v>0</v>
      </c>
      <c r="I334" s="1" t="n">
        <v>0</v>
      </c>
      <c r="J334" s="1" t="n">
        <v>0</v>
      </c>
      <c r="K334" s="1" t="str">
        <f aca="false">IFERROR(F334/D334,"")</f>
        <v/>
      </c>
    </row>
    <row r="335" customFormat="false" ht="12.8" hidden="false" customHeight="false" outlineLevel="0" collapsed="false">
      <c r="A335" s="1" t="n">
        <v>334</v>
      </c>
      <c r="B335" s="1" t="n">
        <v>139145</v>
      </c>
      <c r="C335" s="1" t="n">
        <v>1557</v>
      </c>
      <c r="D335" s="1" t="n">
        <v>2097.45</v>
      </c>
      <c r="E335" s="1" t="n">
        <v>11</v>
      </c>
      <c r="F335" s="1" t="n">
        <v>716.69</v>
      </c>
      <c r="G335" s="1" t="n">
        <v>1.12</v>
      </c>
      <c r="H335" s="1" t="n">
        <v>1.35</v>
      </c>
      <c r="I335" s="1" t="n">
        <v>15.07</v>
      </c>
      <c r="J335" s="1" t="n">
        <v>190.68</v>
      </c>
      <c r="K335" s="1" t="n">
        <f aca="false">IFERROR(F335/D335,"")</f>
        <v>0.341695868793058</v>
      </c>
    </row>
    <row r="336" customFormat="false" ht="12.8" hidden="false" customHeight="false" outlineLevel="0" collapsed="false">
      <c r="A336" s="1" t="n">
        <v>335</v>
      </c>
      <c r="B336" s="1" t="n">
        <v>73983</v>
      </c>
      <c r="C336" s="1" t="n">
        <v>440</v>
      </c>
      <c r="D336" s="1" t="n">
        <v>659.33</v>
      </c>
      <c r="E336" s="1" t="n">
        <v>6</v>
      </c>
      <c r="F336" s="1" t="n">
        <v>403.29</v>
      </c>
      <c r="G336" s="1" t="n">
        <v>0.59</v>
      </c>
      <c r="H336" s="1" t="n">
        <v>1.5</v>
      </c>
      <c r="I336" s="1" t="n">
        <v>8.91</v>
      </c>
      <c r="J336" s="1" t="n">
        <v>109.89</v>
      </c>
      <c r="K336" s="1" t="n">
        <f aca="false">IFERROR(F336/D336,"")</f>
        <v>0.611666388606616</v>
      </c>
    </row>
    <row r="337" customFormat="false" ht="12.8" hidden="false" customHeight="false" outlineLevel="0" collapsed="false">
      <c r="A337" s="1" t="n">
        <v>336</v>
      </c>
      <c r="B337" s="1" t="n">
        <v>12869</v>
      </c>
      <c r="C337" s="1" t="n">
        <v>330</v>
      </c>
      <c r="D337" s="1" t="n">
        <v>0</v>
      </c>
      <c r="E337" s="1" t="n">
        <v>0</v>
      </c>
      <c r="F337" s="1" t="n">
        <v>0</v>
      </c>
      <c r="G337" s="1" t="n">
        <v>2.56</v>
      </c>
      <c r="H337" s="1" t="n">
        <v>0</v>
      </c>
      <c r="I337" s="1" t="n">
        <v>0</v>
      </c>
      <c r="K337" s="1" t="str">
        <f aca="false">IFERROR(F337/D337,"")</f>
        <v/>
      </c>
    </row>
    <row r="338" customFormat="false" ht="12.8" hidden="false" customHeight="false" outlineLevel="0" collapsed="false">
      <c r="A338" s="1" t="n">
        <v>337</v>
      </c>
      <c r="B338" s="1" t="n">
        <v>872849</v>
      </c>
      <c r="C338" s="1" t="n">
        <v>4274</v>
      </c>
      <c r="D338" s="1" t="n">
        <v>5854.05</v>
      </c>
      <c r="E338" s="1" t="n">
        <v>65</v>
      </c>
      <c r="F338" s="1" t="n">
        <v>4261.36</v>
      </c>
      <c r="G338" s="1" t="n">
        <v>0.49</v>
      </c>
      <c r="H338" s="1" t="n">
        <v>1.37</v>
      </c>
      <c r="I338" s="1" t="n">
        <v>6.71</v>
      </c>
      <c r="J338" s="1" t="n">
        <v>90.06</v>
      </c>
      <c r="K338" s="1" t="n">
        <f aca="false">IFERROR(F338/D338,"")</f>
        <v>0.727933652770304</v>
      </c>
    </row>
    <row r="339" customFormat="false" ht="12.8" hidden="false" customHeight="false" outlineLevel="0" collapsed="false">
      <c r="A339" s="1" t="n">
        <v>338</v>
      </c>
      <c r="B339" s="1" t="n">
        <v>20706</v>
      </c>
      <c r="C339" s="1" t="n">
        <v>272</v>
      </c>
      <c r="D339" s="1" t="n">
        <v>429.7</v>
      </c>
      <c r="E339" s="1" t="n">
        <v>1</v>
      </c>
      <c r="F339" s="1" t="n">
        <v>57.38</v>
      </c>
      <c r="G339" s="1" t="n">
        <v>1.31</v>
      </c>
      <c r="H339" s="1" t="n">
        <v>1.58</v>
      </c>
      <c r="I339" s="1" t="n">
        <v>20.75</v>
      </c>
      <c r="J339" s="1" t="n">
        <v>429.7</v>
      </c>
      <c r="K339" s="1" t="n">
        <f aca="false">IFERROR(F339/D339,"")</f>
        <v>0.133535024435653</v>
      </c>
    </row>
    <row r="340" customFormat="false" ht="12.8" hidden="false" customHeight="false" outlineLevel="0" collapsed="false">
      <c r="A340" s="1" t="n">
        <v>339</v>
      </c>
      <c r="B340" s="1" t="n">
        <v>151309</v>
      </c>
      <c r="C340" s="1" t="n">
        <v>1052</v>
      </c>
      <c r="D340" s="1" t="n">
        <v>1398.9</v>
      </c>
      <c r="E340" s="1" t="n">
        <v>14</v>
      </c>
      <c r="F340" s="1" t="n">
        <v>738.05</v>
      </c>
      <c r="G340" s="1" t="n">
        <v>0.7</v>
      </c>
      <c r="H340" s="1" t="n">
        <v>1.33</v>
      </c>
      <c r="I340" s="1" t="n">
        <v>9.25</v>
      </c>
      <c r="J340" s="1" t="n">
        <v>99.92</v>
      </c>
      <c r="K340" s="1" t="n">
        <f aca="false">IFERROR(F340/D340,"")</f>
        <v>0.527593108871256</v>
      </c>
    </row>
    <row r="341" customFormat="false" ht="12.8" hidden="false" customHeight="false" outlineLevel="0" collapsed="false">
      <c r="A341" s="1" t="n">
        <v>340</v>
      </c>
      <c r="B341" s="1" t="n">
        <v>3922</v>
      </c>
      <c r="C341" s="1" t="n">
        <v>94</v>
      </c>
      <c r="D341" s="1" t="n">
        <v>105.95</v>
      </c>
      <c r="E341" s="1" t="n">
        <v>0</v>
      </c>
      <c r="F341" s="1" t="n">
        <v>0</v>
      </c>
      <c r="G341" s="1" t="n">
        <v>2.4</v>
      </c>
      <c r="H341" s="1" t="n">
        <v>1.13</v>
      </c>
      <c r="I341" s="1" t="n">
        <v>27.01</v>
      </c>
      <c r="K341" s="1" t="n">
        <f aca="false">IFERROR(F341/D341,"")</f>
        <v>0</v>
      </c>
    </row>
    <row r="342" customFormat="false" ht="12.8" hidden="false" customHeight="false" outlineLevel="0" collapsed="false">
      <c r="A342" s="1" t="n">
        <v>341</v>
      </c>
      <c r="B342" s="1" t="n">
        <v>348</v>
      </c>
      <c r="C342" s="1" t="n">
        <v>19</v>
      </c>
      <c r="D342" s="1" t="n">
        <v>0</v>
      </c>
      <c r="E342" s="1" t="n">
        <v>0</v>
      </c>
      <c r="F342" s="1" t="n">
        <v>0</v>
      </c>
      <c r="G342" s="1" t="n">
        <v>5.46</v>
      </c>
      <c r="H342" s="1" t="n">
        <v>0</v>
      </c>
      <c r="I342" s="1" t="n">
        <v>0</v>
      </c>
      <c r="K342" s="1" t="str">
        <f aca="false">IFERROR(F342/D342,"")</f>
        <v/>
      </c>
    </row>
    <row r="343" customFormat="false" ht="12.8" hidden="false" customHeight="false" outlineLevel="0" collapsed="false">
      <c r="A343" s="1" t="n">
        <v>342</v>
      </c>
      <c r="B343" s="1" t="n">
        <v>839596</v>
      </c>
      <c r="C343" s="1" t="n">
        <v>2790</v>
      </c>
      <c r="D343" s="1" t="n">
        <v>4267.95</v>
      </c>
      <c r="E343" s="1" t="n">
        <v>37</v>
      </c>
      <c r="F343" s="1" t="n">
        <v>2966.65</v>
      </c>
      <c r="G343" s="1" t="n">
        <v>0.33</v>
      </c>
      <c r="H343" s="1" t="n">
        <v>1.53</v>
      </c>
      <c r="I343" s="1" t="n">
        <v>5.08</v>
      </c>
      <c r="J343" s="1" t="n">
        <v>115.35</v>
      </c>
      <c r="K343" s="1" t="n">
        <f aca="false">IFERROR(F343/D343,"")</f>
        <v>0.695099520847245</v>
      </c>
    </row>
    <row r="344" customFormat="false" ht="12.8" hidden="false" customHeight="false" outlineLevel="0" collapsed="false">
      <c r="A344" s="1" t="n">
        <v>343</v>
      </c>
      <c r="B344" s="1" t="n">
        <v>19034</v>
      </c>
      <c r="C344" s="1" t="n">
        <v>495</v>
      </c>
      <c r="D344" s="1" t="n">
        <v>668.87</v>
      </c>
      <c r="E344" s="1" t="n">
        <v>0</v>
      </c>
      <c r="F344" s="1" t="n">
        <v>0</v>
      </c>
      <c r="G344" s="1" t="n">
        <v>2.6</v>
      </c>
      <c r="H344" s="1" t="n">
        <v>1.35</v>
      </c>
      <c r="I344" s="1" t="n">
        <v>35.14</v>
      </c>
      <c r="K344" s="1" t="n">
        <f aca="false">IFERROR(F344/D344,"")</f>
        <v>0</v>
      </c>
    </row>
    <row r="345" customFormat="false" ht="12.8" hidden="false" customHeight="false" outlineLevel="0" collapsed="false">
      <c r="A345" s="1" t="n">
        <v>344</v>
      </c>
      <c r="B345" s="1" t="n">
        <v>220686</v>
      </c>
      <c r="C345" s="1" t="n">
        <v>1367</v>
      </c>
      <c r="D345" s="1" t="n">
        <v>2035.43</v>
      </c>
      <c r="E345" s="1" t="n">
        <v>20</v>
      </c>
      <c r="F345" s="1" t="n">
        <v>1283.5</v>
      </c>
      <c r="G345" s="1" t="n">
        <v>0.62</v>
      </c>
      <c r="H345" s="1" t="n">
        <v>1.49</v>
      </c>
      <c r="I345" s="1" t="n">
        <v>9.22</v>
      </c>
      <c r="J345" s="1" t="n">
        <v>101.77</v>
      </c>
      <c r="K345" s="1" t="n">
        <f aca="false">IFERROR(F345/D345,"")</f>
        <v>0.630579287914593</v>
      </c>
    </row>
    <row r="346" customFormat="false" ht="12.8" hidden="false" customHeight="false" outlineLevel="0" collapsed="false">
      <c r="A346" s="1" t="n">
        <v>345</v>
      </c>
      <c r="B346" s="1" t="n">
        <v>675797</v>
      </c>
      <c r="C346" s="1" t="n">
        <v>1372</v>
      </c>
      <c r="D346" s="1" t="n">
        <v>2515.09</v>
      </c>
      <c r="E346" s="1" t="n">
        <v>11</v>
      </c>
      <c r="F346" s="1" t="n">
        <v>1044.15</v>
      </c>
      <c r="G346" s="1" t="n">
        <v>0.2</v>
      </c>
      <c r="H346" s="1" t="n">
        <v>1.83</v>
      </c>
      <c r="I346" s="1" t="n">
        <v>3.72</v>
      </c>
      <c r="J346" s="1" t="n">
        <v>228.64</v>
      </c>
      <c r="K346" s="1" t="n">
        <f aca="false">IFERROR(F346/D346,"")</f>
        <v>0.415154129673292</v>
      </c>
    </row>
    <row r="347" customFormat="false" ht="12.8" hidden="false" customHeight="false" outlineLevel="0" collapsed="false">
      <c r="A347" s="1" t="n">
        <v>346</v>
      </c>
      <c r="B347" s="1" t="n">
        <v>4798</v>
      </c>
      <c r="C347" s="1" t="n">
        <v>105</v>
      </c>
      <c r="D347" s="1" t="n">
        <v>135.35</v>
      </c>
      <c r="E347" s="1" t="n">
        <v>0</v>
      </c>
      <c r="F347" s="1" t="n">
        <v>0</v>
      </c>
      <c r="G347" s="1" t="n">
        <v>2.19</v>
      </c>
      <c r="H347" s="1" t="n">
        <v>1.29</v>
      </c>
      <c r="I347" s="1" t="n">
        <v>28.21</v>
      </c>
      <c r="K347" s="1" t="n">
        <f aca="false">IFERROR(F347/D347,"")</f>
        <v>0</v>
      </c>
    </row>
    <row r="348" customFormat="false" ht="12.8" hidden="false" customHeight="false" outlineLevel="0" collapsed="false">
      <c r="A348" s="1" t="n">
        <v>347</v>
      </c>
      <c r="B348" s="1" t="n">
        <v>517560</v>
      </c>
      <c r="C348" s="1" t="n">
        <v>3175</v>
      </c>
      <c r="D348" s="1" t="n">
        <v>4536.97</v>
      </c>
      <c r="E348" s="1" t="n">
        <v>30</v>
      </c>
      <c r="F348" s="1" t="n">
        <v>2087.06</v>
      </c>
      <c r="G348" s="1" t="n">
        <v>0.61</v>
      </c>
      <c r="H348" s="1" t="n">
        <v>1.43</v>
      </c>
      <c r="I348" s="1" t="n">
        <v>8.77</v>
      </c>
      <c r="J348" s="1" t="n">
        <v>151.23</v>
      </c>
      <c r="K348" s="1" t="n">
        <f aca="false">IFERROR(F348/D348,"")</f>
        <v>0.460011858134394</v>
      </c>
    </row>
    <row r="349" customFormat="false" ht="12.8" hidden="false" customHeight="false" outlineLevel="0" collapsed="false">
      <c r="A349" s="1" t="n">
        <v>348</v>
      </c>
      <c r="B349" s="1" t="n">
        <v>45794</v>
      </c>
      <c r="C349" s="1" t="n">
        <v>331</v>
      </c>
      <c r="D349" s="1" t="n">
        <v>436.61</v>
      </c>
      <c r="E349" s="1" t="n">
        <v>2</v>
      </c>
      <c r="F349" s="1" t="n">
        <v>95.49</v>
      </c>
      <c r="G349" s="1" t="n">
        <v>0.72</v>
      </c>
      <c r="H349" s="1" t="n">
        <v>1.32</v>
      </c>
      <c r="I349" s="1" t="n">
        <v>9.53</v>
      </c>
      <c r="J349" s="1" t="n">
        <v>218.31</v>
      </c>
      <c r="K349" s="1" t="n">
        <f aca="false">IFERROR(F349/D349,"")</f>
        <v>0.218707771237489</v>
      </c>
    </row>
    <row r="350" customFormat="false" ht="12.8" hidden="false" customHeight="false" outlineLevel="0" collapsed="false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K350" s="1" t="str">
        <f aca="false">IFERROR(F350/D350,"")</f>
        <v/>
      </c>
    </row>
    <row r="351" customFormat="false" ht="12.8" hidden="false" customHeight="false" outlineLevel="0" collapsed="false">
      <c r="A351" s="1" t="n">
        <v>350</v>
      </c>
      <c r="B351" s="1" t="n">
        <v>8508</v>
      </c>
      <c r="C351" s="1" t="n">
        <v>194</v>
      </c>
      <c r="D351" s="1" t="n">
        <v>319.94</v>
      </c>
      <c r="E351" s="1" t="n">
        <v>0</v>
      </c>
      <c r="F351" s="1" t="n">
        <v>0</v>
      </c>
      <c r="G351" s="1" t="n">
        <v>2.28</v>
      </c>
      <c r="H351" s="1" t="n">
        <v>1.65</v>
      </c>
      <c r="I351" s="1" t="n">
        <v>37.6</v>
      </c>
      <c r="K351" s="1" t="n">
        <f aca="false">IFERROR(F351/D351,"")</f>
        <v>0</v>
      </c>
    </row>
    <row r="352" customFormat="false" ht="12.8" hidden="false" customHeight="false" outlineLevel="0" collapsed="false">
      <c r="A352" s="1" t="n">
        <v>351</v>
      </c>
      <c r="B352" s="1" t="n">
        <v>4207</v>
      </c>
      <c r="C352" s="1" t="n">
        <v>149</v>
      </c>
      <c r="D352" s="1" t="n">
        <v>0</v>
      </c>
      <c r="E352" s="1" t="n">
        <v>0</v>
      </c>
      <c r="F352" s="1" t="n">
        <v>0</v>
      </c>
      <c r="G352" s="1" t="n">
        <v>3.54</v>
      </c>
      <c r="H352" s="1" t="n">
        <v>0</v>
      </c>
      <c r="I352" s="1" t="n">
        <v>0</v>
      </c>
      <c r="K352" s="1" t="str">
        <f aca="false">IFERROR(F352/D352,"")</f>
        <v/>
      </c>
    </row>
    <row r="353" customFormat="false" ht="12.8" hidden="false" customHeight="false" outlineLevel="0" collapsed="false">
      <c r="A353" s="1" t="n">
        <v>352</v>
      </c>
      <c r="B353" s="1" t="n">
        <v>119347</v>
      </c>
      <c r="C353" s="1" t="n">
        <v>913</v>
      </c>
      <c r="D353" s="1" t="n">
        <v>0</v>
      </c>
      <c r="E353" s="1" t="n">
        <v>5</v>
      </c>
      <c r="F353" s="1" t="n">
        <v>196.25</v>
      </c>
      <c r="G353" s="1" t="n">
        <v>0.76</v>
      </c>
      <c r="H353" s="1" t="n">
        <v>0</v>
      </c>
      <c r="I353" s="1" t="n">
        <v>0</v>
      </c>
      <c r="J353" s="1" t="n">
        <v>0</v>
      </c>
      <c r="K353" s="1" t="str">
        <f aca="false">IFERROR(F353/D353,"")</f>
        <v/>
      </c>
    </row>
    <row r="354" customFormat="false" ht="12.8" hidden="false" customHeight="false" outlineLevel="0" collapsed="false">
      <c r="A354" s="1" t="n">
        <v>353</v>
      </c>
      <c r="B354" s="1" t="n">
        <v>6921</v>
      </c>
      <c r="C354" s="1" t="n">
        <v>164</v>
      </c>
      <c r="D354" s="1" t="n">
        <v>257.21</v>
      </c>
      <c r="E354" s="1" t="n">
        <v>0</v>
      </c>
      <c r="F354" s="1" t="n">
        <v>0</v>
      </c>
      <c r="G354" s="1" t="n">
        <v>2.37</v>
      </c>
      <c r="H354" s="1" t="n">
        <v>1.57</v>
      </c>
      <c r="I354" s="1" t="n">
        <v>37.16</v>
      </c>
      <c r="K354" s="1" t="n">
        <f aca="false">IFERROR(F354/D354,"")</f>
        <v>0</v>
      </c>
    </row>
    <row r="355" customFormat="false" ht="12.8" hidden="false" customHeight="false" outlineLevel="0" collapsed="false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K355" s="1" t="str">
        <f aca="false">IFERROR(F355/D355,"")</f>
        <v/>
      </c>
    </row>
    <row r="356" customFormat="false" ht="12.8" hidden="false" customHeight="false" outlineLevel="0" collapsed="false">
      <c r="A356" s="1" t="n">
        <v>355</v>
      </c>
      <c r="B356" s="1" t="n">
        <v>432920</v>
      </c>
      <c r="C356" s="1" t="n">
        <v>1955</v>
      </c>
      <c r="D356" s="1" t="n">
        <v>2778.43</v>
      </c>
      <c r="E356" s="1" t="n">
        <v>28</v>
      </c>
      <c r="F356" s="1" t="n">
        <v>2375.57</v>
      </c>
      <c r="G356" s="1" t="n">
        <v>0.45</v>
      </c>
      <c r="H356" s="1" t="n">
        <v>1.42</v>
      </c>
      <c r="I356" s="1" t="n">
        <v>6.42</v>
      </c>
      <c r="J356" s="1" t="n">
        <v>99.23</v>
      </c>
      <c r="K356" s="1" t="n">
        <f aca="false">IFERROR(F356/D356,"")</f>
        <v>0.855004444956324</v>
      </c>
    </row>
    <row r="357" customFormat="false" ht="12.8" hidden="false" customHeight="false" outlineLevel="0" collapsed="false">
      <c r="A357" s="1" t="n">
        <v>356</v>
      </c>
      <c r="B357" s="1" t="n">
        <v>1080590</v>
      </c>
      <c r="C357" s="1" t="n">
        <v>3431</v>
      </c>
      <c r="D357" s="1" t="n">
        <v>5105.29</v>
      </c>
      <c r="E357" s="1" t="n">
        <v>44</v>
      </c>
      <c r="F357" s="1" t="n">
        <v>3191.94</v>
      </c>
      <c r="G357" s="1" t="n">
        <v>0.32</v>
      </c>
      <c r="H357" s="1" t="n">
        <v>1.49</v>
      </c>
      <c r="I357" s="1" t="n">
        <v>4.72</v>
      </c>
      <c r="J357" s="1" t="n">
        <v>116.03</v>
      </c>
      <c r="K357" s="1" t="n">
        <f aca="false">IFERROR(F357/D357,"")</f>
        <v>0.625222073574665</v>
      </c>
    </row>
    <row r="358" customFormat="false" ht="12.8" hidden="false" customHeight="false" outlineLevel="0" collapsed="false">
      <c r="A358" s="1" t="n">
        <v>357</v>
      </c>
      <c r="B358" s="1" t="n">
        <v>29115</v>
      </c>
      <c r="C358" s="1" t="n">
        <v>170</v>
      </c>
      <c r="D358" s="1" t="n">
        <v>0</v>
      </c>
      <c r="E358" s="1" t="n">
        <v>2</v>
      </c>
      <c r="F358" s="1" t="n">
        <v>104.26</v>
      </c>
      <c r="G358" s="1" t="n">
        <v>0.58</v>
      </c>
      <c r="H358" s="1" t="n">
        <v>0</v>
      </c>
      <c r="I358" s="1" t="n">
        <v>0</v>
      </c>
      <c r="J358" s="1" t="n">
        <v>0</v>
      </c>
      <c r="K358" s="1" t="str">
        <f aca="false">IFERROR(F358/D358,"")</f>
        <v/>
      </c>
    </row>
    <row r="359" customFormat="false" ht="12.8" hidden="false" customHeight="false" outlineLevel="0" collapsed="false">
      <c r="A359" s="1" t="n">
        <v>358</v>
      </c>
      <c r="B359" s="1" t="n">
        <v>561304</v>
      </c>
      <c r="C359" s="1" t="n">
        <v>4970</v>
      </c>
      <c r="D359" s="1" t="n">
        <v>6942.51</v>
      </c>
      <c r="E359" s="1" t="n">
        <v>38</v>
      </c>
      <c r="F359" s="1" t="n">
        <v>2584.65</v>
      </c>
      <c r="G359" s="1" t="n">
        <v>0.89</v>
      </c>
      <c r="H359" s="1" t="n">
        <v>1.4</v>
      </c>
      <c r="I359" s="1" t="n">
        <v>12.37</v>
      </c>
      <c r="J359" s="1" t="n">
        <v>182.7</v>
      </c>
      <c r="K359" s="1" t="n">
        <f aca="false">IFERROR(F359/D359,"")</f>
        <v>0.372293306023326</v>
      </c>
    </row>
    <row r="360" customFormat="false" ht="12.8" hidden="false" customHeight="false" outlineLevel="0" collapsed="false">
      <c r="A360" s="1" t="n">
        <v>359</v>
      </c>
      <c r="B360" s="1" t="n">
        <v>44010</v>
      </c>
      <c r="C360" s="1" t="n">
        <v>655</v>
      </c>
      <c r="D360" s="1" t="n">
        <v>1005.35</v>
      </c>
      <c r="E360" s="1" t="n">
        <v>4</v>
      </c>
      <c r="F360" s="1" t="n">
        <v>275.09</v>
      </c>
      <c r="G360" s="1" t="n">
        <v>1.49</v>
      </c>
      <c r="H360" s="1" t="n">
        <v>1.53</v>
      </c>
      <c r="I360" s="1" t="n">
        <v>22.84</v>
      </c>
      <c r="J360" s="1" t="n">
        <v>251.34</v>
      </c>
      <c r="K360" s="1" t="n">
        <f aca="false">IFERROR(F360/D360,"")</f>
        <v>0.273626100363058</v>
      </c>
    </row>
    <row r="361" customFormat="false" ht="12.8" hidden="false" customHeight="false" outlineLevel="0" collapsed="false">
      <c r="A361" s="1" t="n">
        <v>360</v>
      </c>
      <c r="B361" s="1" t="n">
        <v>1367</v>
      </c>
      <c r="C361" s="1" t="n">
        <v>59</v>
      </c>
      <c r="D361" s="1" t="n">
        <v>0</v>
      </c>
      <c r="E361" s="1" t="n">
        <v>0</v>
      </c>
      <c r="F361" s="1" t="n">
        <v>0</v>
      </c>
      <c r="G361" s="1" t="n">
        <v>4.32</v>
      </c>
      <c r="H361" s="1" t="n">
        <v>0</v>
      </c>
      <c r="I361" s="1" t="n">
        <v>0</v>
      </c>
      <c r="K361" s="1" t="str">
        <f aca="false">IFERROR(F361/D361,"")</f>
        <v/>
      </c>
    </row>
    <row r="362" customFormat="false" ht="12.8" hidden="false" customHeight="false" outlineLevel="0" collapsed="false">
      <c r="A362" s="1" t="n">
        <v>361</v>
      </c>
      <c r="B362" s="1" t="n">
        <v>58042</v>
      </c>
      <c r="C362" s="1" t="n">
        <v>1203</v>
      </c>
      <c r="D362" s="1" t="n">
        <v>0</v>
      </c>
      <c r="E362" s="1" t="n">
        <v>3</v>
      </c>
      <c r="F362" s="1" t="n">
        <v>103.82</v>
      </c>
      <c r="G362" s="1" t="n">
        <v>2.07</v>
      </c>
      <c r="H362" s="1" t="n">
        <v>0</v>
      </c>
      <c r="I362" s="1" t="n">
        <v>0</v>
      </c>
      <c r="J362" s="1" t="n">
        <v>0</v>
      </c>
      <c r="K362" s="1" t="str">
        <f aca="false">IFERROR(F362/D362,"")</f>
        <v/>
      </c>
    </row>
    <row r="363" customFormat="false" ht="12.8" hidden="false" customHeight="false" outlineLevel="0" collapsed="false">
      <c r="A363" s="1" t="n">
        <v>362</v>
      </c>
      <c r="B363" s="1" t="n">
        <v>116022</v>
      </c>
      <c r="C363" s="1" t="n">
        <v>819</v>
      </c>
      <c r="D363" s="1" t="n">
        <v>0</v>
      </c>
      <c r="E363" s="1" t="n">
        <v>3</v>
      </c>
      <c r="F363" s="1" t="n">
        <v>157.32</v>
      </c>
      <c r="G363" s="1" t="n">
        <v>0.71</v>
      </c>
      <c r="H363" s="1" t="n">
        <v>0</v>
      </c>
      <c r="I363" s="1" t="n">
        <v>0</v>
      </c>
      <c r="J363" s="1" t="n">
        <v>0</v>
      </c>
      <c r="K363" s="1" t="str">
        <f aca="false">IFERROR(F363/D363,"")</f>
        <v/>
      </c>
    </row>
    <row r="364" customFormat="false" ht="12.8" hidden="false" customHeight="false" outlineLevel="0" collapsed="false">
      <c r="A364" s="1" t="n">
        <v>363</v>
      </c>
      <c r="B364" s="1" t="n">
        <v>51240</v>
      </c>
      <c r="C364" s="1" t="n">
        <v>703</v>
      </c>
      <c r="D364" s="1" t="n">
        <v>1114.95</v>
      </c>
      <c r="E364" s="1" t="n">
        <v>5</v>
      </c>
      <c r="F364" s="1" t="n">
        <v>326</v>
      </c>
      <c r="G364" s="1" t="n">
        <v>1.37</v>
      </c>
      <c r="H364" s="1" t="n">
        <v>1.59</v>
      </c>
      <c r="I364" s="1" t="n">
        <v>21.76</v>
      </c>
      <c r="J364" s="1" t="n">
        <v>222.99</v>
      </c>
      <c r="K364" s="1" t="n">
        <f aca="false">IFERROR(F364/D364,"")</f>
        <v>0.292389793264272</v>
      </c>
    </row>
    <row r="365" customFormat="false" ht="12.8" hidden="false" customHeight="false" outlineLevel="0" collapsed="false">
      <c r="A365" s="1" t="n">
        <v>364</v>
      </c>
      <c r="B365" s="1" t="n">
        <v>106676</v>
      </c>
      <c r="C365" s="1" t="n">
        <v>1218</v>
      </c>
      <c r="D365" s="1" t="n">
        <v>1823.21</v>
      </c>
      <c r="E365" s="1" t="n">
        <v>6</v>
      </c>
      <c r="F365" s="1" t="n">
        <v>372.09</v>
      </c>
      <c r="G365" s="1" t="n">
        <v>1.14</v>
      </c>
      <c r="H365" s="1" t="n">
        <v>1.5</v>
      </c>
      <c r="I365" s="1" t="n">
        <v>17.09</v>
      </c>
      <c r="J365" s="1" t="n">
        <v>303.87</v>
      </c>
      <c r="K365" s="1" t="n">
        <f aca="false">IFERROR(F365/D365,"")</f>
        <v>0.204085102648625</v>
      </c>
    </row>
    <row r="366" customFormat="false" ht="12.8" hidden="false" customHeight="false" outlineLevel="0" collapsed="false">
      <c r="A366" s="1" t="n">
        <v>365</v>
      </c>
      <c r="B366" s="1" t="n">
        <v>109906</v>
      </c>
      <c r="C366" s="1" t="n">
        <v>1312</v>
      </c>
      <c r="D366" s="1" t="n">
        <v>0</v>
      </c>
      <c r="E366" s="1" t="n">
        <v>9</v>
      </c>
      <c r="F366" s="1" t="n">
        <v>711.56</v>
      </c>
      <c r="G366" s="1" t="n">
        <v>1.19</v>
      </c>
      <c r="H366" s="1" t="n">
        <v>0</v>
      </c>
      <c r="I366" s="1" t="n">
        <v>0</v>
      </c>
      <c r="J366" s="1" t="n">
        <v>0</v>
      </c>
      <c r="K366" s="1" t="str">
        <f aca="false">IFERROR(F366/D366,"")</f>
        <v/>
      </c>
    </row>
    <row r="367" customFormat="false" ht="12.8" hidden="false" customHeight="false" outlineLevel="0" collapsed="false">
      <c r="A367" s="1" t="n">
        <v>366</v>
      </c>
      <c r="B367" s="1" t="n">
        <v>757714</v>
      </c>
      <c r="C367" s="1" t="n">
        <v>1778</v>
      </c>
      <c r="D367" s="1" t="n">
        <v>0</v>
      </c>
      <c r="E367" s="1" t="n">
        <v>35</v>
      </c>
      <c r="F367" s="1" t="n">
        <v>3256.34</v>
      </c>
      <c r="G367" s="1" t="n">
        <v>0.23</v>
      </c>
      <c r="H367" s="1" t="n">
        <v>0</v>
      </c>
      <c r="I367" s="1" t="n">
        <v>0</v>
      </c>
      <c r="J367" s="1" t="n">
        <v>0</v>
      </c>
      <c r="K367" s="1" t="str">
        <f aca="false">IFERROR(F367/D367,"")</f>
        <v/>
      </c>
    </row>
    <row r="368" customFormat="false" ht="12.8" hidden="false" customHeight="false" outlineLevel="0" collapsed="false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K368" s="1" t="str">
        <f aca="false">IFERROR(F368/D368,"")</f>
        <v/>
      </c>
    </row>
    <row r="369" customFormat="false" ht="12.8" hidden="false" customHeight="false" outlineLevel="0" collapsed="false">
      <c r="A369" s="1" t="n">
        <v>368</v>
      </c>
      <c r="B369" s="1" t="n">
        <v>6368</v>
      </c>
      <c r="C369" s="1" t="n">
        <v>304</v>
      </c>
      <c r="D369" s="1" t="n">
        <v>0</v>
      </c>
      <c r="E369" s="1" t="n">
        <v>0</v>
      </c>
      <c r="F369" s="1" t="n">
        <v>0</v>
      </c>
      <c r="G369" s="1" t="n">
        <v>4.77</v>
      </c>
      <c r="H369" s="1" t="n">
        <v>0</v>
      </c>
      <c r="I369" s="1" t="n">
        <v>0</v>
      </c>
      <c r="K369" s="1" t="str">
        <f aca="false">IFERROR(F369/D369,"")</f>
        <v/>
      </c>
    </row>
    <row r="370" customFormat="false" ht="12.8" hidden="false" customHeight="false" outlineLevel="0" collapsed="false">
      <c r="A370" s="1" t="n">
        <v>369</v>
      </c>
      <c r="B370" s="1" t="n">
        <v>486355</v>
      </c>
      <c r="C370" s="1" t="n">
        <v>3870</v>
      </c>
      <c r="D370" s="1" t="n">
        <v>0</v>
      </c>
      <c r="E370" s="1" t="n">
        <v>45</v>
      </c>
      <c r="F370" s="1" t="n">
        <v>3929.29</v>
      </c>
      <c r="G370" s="1" t="n">
        <v>0.8</v>
      </c>
      <c r="H370" s="1" t="n">
        <v>0</v>
      </c>
      <c r="I370" s="1" t="n">
        <v>0</v>
      </c>
      <c r="J370" s="1" t="n">
        <v>0</v>
      </c>
      <c r="K370" s="1" t="str">
        <f aca="false">IFERROR(F370/D370,"")</f>
        <v/>
      </c>
    </row>
    <row r="371" customFormat="false" ht="12.8" hidden="false" customHeight="false" outlineLevel="0" collapsed="false">
      <c r="A371" s="1" t="n">
        <v>370</v>
      </c>
      <c r="B371" s="1" t="n">
        <v>32680</v>
      </c>
      <c r="C371" s="1" t="n">
        <v>498</v>
      </c>
      <c r="D371" s="1" t="n">
        <v>657.16</v>
      </c>
      <c r="E371" s="1" t="n">
        <v>1</v>
      </c>
      <c r="F371" s="1" t="n">
        <v>139.44</v>
      </c>
      <c r="G371" s="1" t="n">
        <v>1.52</v>
      </c>
      <c r="H371" s="1" t="n">
        <v>1.32</v>
      </c>
      <c r="I371" s="1" t="n">
        <v>20.11</v>
      </c>
      <c r="J371" s="1" t="n">
        <v>657.16</v>
      </c>
      <c r="K371" s="1" t="n">
        <f aca="false">IFERROR(F371/D371,"")</f>
        <v>0.212185769066894</v>
      </c>
    </row>
    <row r="372" customFormat="false" ht="12.8" hidden="false" customHeight="false" outlineLevel="0" collapsed="false">
      <c r="A372" s="1" t="n">
        <v>371</v>
      </c>
      <c r="B372" s="1" t="n">
        <v>110345</v>
      </c>
      <c r="C372" s="1" t="n">
        <v>1613</v>
      </c>
      <c r="D372" s="1" t="n">
        <v>2328.6</v>
      </c>
      <c r="E372" s="1" t="n">
        <v>5</v>
      </c>
      <c r="F372" s="1" t="n">
        <v>356.3</v>
      </c>
      <c r="G372" s="1" t="n">
        <v>1.46</v>
      </c>
      <c r="H372" s="1" t="n">
        <v>1.44</v>
      </c>
      <c r="I372" s="1" t="n">
        <v>21.1</v>
      </c>
      <c r="J372" s="1" t="n">
        <v>465.72</v>
      </c>
      <c r="K372" s="1" t="n">
        <f aca="false">IFERROR(F372/D372,"")</f>
        <v>0.153010392510521</v>
      </c>
    </row>
    <row r="373" customFormat="false" ht="12.8" hidden="false" customHeight="false" outlineLevel="0" collapsed="false">
      <c r="A373" s="1" t="n">
        <v>372</v>
      </c>
      <c r="B373" s="1" t="n">
        <v>139699</v>
      </c>
      <c r="C373" s="1" t="n">
        <v>807</v>
      </c>
      <c r="D373" s="1" t="n">
        <v>0</v>
      </c>
      <c r="E373" s="1" t="n">
        <v>8</v>
      </c>
      <c r="F373" s="1" t="n">
        <v>658.68</v>
      </c>
      <c r="G373" s="1" t="n">
        <v>0.58</v>
      </c>
      <c r="H373" s="1" t="n">
        <v>0</v>
      </c>
      <c r="I373" s="1" t="n">
        <v>0</v>
      </c>
      <c r="J373" s="1" t="n">
        <v>0</v>
      </c>
      <c r="K373" s="1" t="str">
        <f aca="false">IFERROR(F373/D373,"")</f>
        <v/>
      </c>
    </row>
    <row r="374" customFormat="false" ht="12.8" hidden="false" customHeight="false" outlineLevel="0" collapsed="false">
      <c r="A374" s="1" t="n">
        <v>373</v>
      </c>
      <c r="B374" s="1" t="n">
        <v>49203</v>
      </c>
      <c r="C374" s="1" t="n">
        <v>733</v>
      </c>
      <c r="D374" s="1" t="n">
        <v>1009.34</v>
      </c>
      <c r="E374" s="1" t="n">
        <v>0</v>
      </c>
      <c r="F374" s="1" t="n">
        <v>0</v>
      </c>
      <c r="G374" s="1" t="n">
        <v>1.49</v>
      </c>
      <c r="H374" s="1" t="n">
        <v>1.38</v>
      </c>
      <c r="I374" s="1" t="n">
        <v>20.51</v>
      </c>
      <c r="K374" s="1" t="n">
        <f aca="false">IFERROR(F374/D374,"")</f>
        <v>0</v>
      </c>
    </row>
    <row r="375" customFormat="false" ht="12.8" hidden="false" customHeight="false" outlineLevel="0" collapsed="false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K375" s="1" t="str">
        <f aca="false">IFERROR(F375/D375,"")</f>
        <v/>
      </c>
    </row>
    <row r="376" customFormat="false" ht="12.8" hidden="false" customHeight="false" outlineLevel="0" collapsed="false">
      <c r="A376" s="1" t="n">
        <v>375</v>
      </c>
      <c r="B376" s="1" t="n">
        <v>104873</v>
      </c>
      <c r="C376" s="1" t="n">
        <v>968</v>
      </c>
      <c r="D376" s="1" t="n">
        <v>1293.85</v>
      </c>
      <c r="E376" s="1" t="n">
        <v>10</v>
      </c>
      <c r="F376" s="1" t="n">
        <v>540.25</v>
      </c>
      <c r="G376" s="1" t="n">
        <v>0.92</v>
      </c>
      <c r="H376" s="1" t="n">
        <v>1.34</v>
      </c>
      <c r="I376" s="1" t="n">
        <v>12.34</v>
      </c>
      <c r="J376" s="1" t="n">
        <v>129.39</v>
      </c>
      <c r="K376" s="1" t="n">
        <f aca="false">IFERROR(F376/D376,"")</f>
        <v>0.417552266491479</v>
      </c>
    </row>
    <row r="377" customFormat="false" ht="12.8" hidden="false" customHeight="false" outlineLevel="0" collapsed="false">
      <c r="A377" s="1" t="n">
        <v>376</v>
      </c>
      <c r="B377" s="1" t="n">
        <v>124914</v>
      </c>
      <c r="C377" s="1" t="n">
        <v>1850</v>
      </c>
      <c r="D377" s="1" t="n">
        <v>0</v>
      </c>
      <c r="E377" s="1" t="n">
        <v>5</v>
      </c>
      <c r="F377" s="1" t="n">
        <v>539.57</v>
      </c>
      <c r="G377" s="1" t="n">
        <v>1.48</v>
      </c>
      <c r="H377" s="1" t="n">
        <v>0</v>
      </c>
      <c r="I377" s="1" t="n">
        <v>0</v>
      </c>
      <c r="J377" s="1" t="n">
        <v>0</v>
      </c>
      <c r="K377" s="1" t="str">
        <f aca="false">IFERROR(F377/D377,"")</f>
        <v/>
      </c>
    </row>
    <row r="378" customFormat="false" ht="12.8" hidden="false" customHeight="false" outlineLevel="0" collapsed="false">
      <c r="A378" s="1" t="n">
        <v>377</v>
      </c>
      <c r="B378" s="1" t="n">
        <v>138899</v>
      </c>
      <c r="C378" s="1" t="n">
        <v>1907</v>
      </c>
      <c r="D378" s="1" t="n">
        <v>0</v>
      </c>
      <c r="E378" s="1" t="n">
        <v>6</v>
      </c>
      <c r="F378" s="1" t="n">
        <v>555.35</v>
      </c>
      <c r="G378" s="1" t="n">
        <v>1.37</v>
      </c>
      <c r="H378" s="1" t="n">
        <v>0</v>
      </c>
      <c r="I378" s="1" t="n">
        <v>0</v>
      </c>
      <c r="J378" s="1" t="n">
        <v>0</v>
      </c>
      <c r="K378" s="1" t="str">
        <f aca="false">IFERROR(F378/D378,"")</f>
        <v/>
      </c>
    </row>
    <row r="379" customFormat="false" ht="12.8" hidden="false" customHeight="false" outlineLevel="0" collapsed="false">
      <c r="A379" s="1" t="n">
        <v>378</v>
      </c>
      <c r="B379" s="1" t="n">
        <v>39869</v>
      </c>
      <c r="C379" s="1" t="n">
        <v>503</v>
      </c>
      <c r="D379" s="1" t="n">
        <v>0</v>
      </c>
      <c r="E379" s="1" t="n">
        <v>7</v>
      </c>
      <c r="F379" s="1" t="n">
        <v>345.32</v>
      </c>
      <c r="G379" s="1" t="n">
        <v>1.26</v>
      </c>
      <c r="H379" s="1" t="n">
        <v>0</v>
      </c>
      <c r="I379" s="1" t="n">
        <v>0</v>
      </c>
      <c r="J379" s="1" t="n">
        <v>0</v>
      </c>
      <c r="K379" s="1" t="str">
        <f aca="false">IFERROR(F379/D379,"")</f>
        <v/>
      </c>
    </row>
    <row r="380" customFormat="false" ht="12.8" hidden="false" customHeight="false" outlineLevel="0" collapsed="false">
      <c r="A380" s="1" t="n">
        <v>379</v>
      </c>
      <c r="B380" s="1" t="n">
        <v>620621</v>
      </c>
      <c r="C380" s="1" t="n">
        <v>3442</v>
      </c>
      <c r="D380" s="1" t="n">
        <v>4678.8</v>
      </c>
      <c r="E380" s="1" t="n">
        <v>41</v>
      </c>
      <c r="F380" s="1" t="n">
        <v>3181.48</v>
      </c>
      <c r="G380" s="1" t="n">
        <v>0.55</v>
      </c>
      <c r="H380" s="1" t="n">
        <v>1.36</v>
      </c>
      <c r="I380" s="1" t="n">
        <v>7.54</v>
      </c>
      <c r="J380" s="1" t="n">
        <v>114.12</v>
      </c>
      <c r="K380" s="1" t="n">
        <f aca="false">IFERROR(F380/D380,"")</f>
        <v>0.679977772078311</v>
      </c>
    </row>
    <row r="381" customFormat="false" ht="12.8" hidden="false" customHeight="false" outlineLevel="0" collapsed="false">
      <c r="A381" s="1" t="n">
        <v>380</v>
      </c>
      <c r="B381" s="1" t="n">
        <v>7131</v>
      </c>
      <c r="C381" s="1" t="n">
        <v>129</v>
      </c>
      <c r="D381" s="1" t="n">
        <v>210.59</v>
      </c>
      <c r="E381" s="1" t="n">
        <v>0</v>
      </c>
      <c r="F381" s="1" t="n">
        <v>0</v>
      </c>
      <c r="G381" s="1" t="n">
        <v>1.81</v>
      </c>
      <c r="H381" s="1" t="n">
        <v>1.63</v>
      </c>
      <c r="I381" s="1" t="n">
        <v>29.53</v>
      </c>
      <c r="K381" s="1" t="n">
        <f aca="false">IFERROR(F381/D381,"")</f>
        <v>0</v>
      </c>
    </row>
    <row r="382" customFormat="false" ht="12.8" hidden="false" customHeight="false" outlineLevel="0" collapsed="false">
      <c r="A382" s="1" t="n">
        <v>381</v>
      </c>
      <c r="B382" s="1" t="n">
        <v>819133</v>
      </c>
      <c r="C382" s="1" t="n">
        <v>2713</v>
      </c>
      <c r="D382" s="1" t="n">
        <v>0</v>
      </c>
      <c r="E382" s="1" t="n">
        <v>36</v>
      </c>
      <c r="F382" s="1" t="n">
        <v>2121.63</v>
      </c>
      <c r="G382" s="1" t="n">
        <v>0.33</v>
      </c>
      <c r="H382" s="1" t="n">
        <v>0</v>
      </c>
      <c r="I382" s="1" t="n">
        <v>0</v>
      </c>
      <c r="J382" s="1" t="n">
        <v>0</v>
      </c>
      <c r="K382" s="1" t="str">
        <f aca="false">IFERROR(F382/D382,"")</f>
        <v/>
      </c>
    </row>
    <row r="383" customFormat="false" ht="12.8" hidden="false" customHeight="false" outlineLevel="0" collapsed="false">
      <c r="A383" s="1" t="n">
        <v>382</v>
      </c>
      <c r="B383" s="1" t="n">
        <v>703396</v>
      </c>
      <c r="C383" s="1" t="n">
        <v>4800</v>
      </c>
      <c r="D383" s="1" t="n">
        <v>0</v>
      </c>
      <c r="E383" s="1" t="n">
        <v>42</v>
      </c>
      <c r="F383" s="1" t="n">
        <v>3034.79</v>
      </c>
      <c r="G383" s="1" t="n">
        <v>0.68</v>
      </c>
      <c r="H383" s="1" t="n">
        <v>0</v>
      </c>
      <c r="I383" s="1" t="n">
        <v>0</v>
      </c>
      <c r="J383" s="1" t="n">
        <v>0</v>
      </c>
      <c r="K383" s="1" t="str">
        <f aca="false">IFERROR(F383/D383,"")</f>
        <v/>
      </c>
    </row>
    <row r="384" customFormat="false" ht="12.8" hidden="false" customHeight="false" outlineLevel="0" collapsed="false">
      <c r="A384" s="1" t="n">
        <v>383</v>
      </c>
      <c r="B384" s="1" t="n">
        <v>1271702</v>
      </c>
      <c r="C384" s="1" t="n">
        <v>3614</v>
      </c>
      <c r="D384" s="1" t="n">
        <v>5099.34</v>
      </c>
      <c r="E384" s="1" t="n">
        <v>46</v>
      </c>
      <c r="F384" s="1" t="n">
        <v>3948.52</v>
      </c>
      <c r="G384" s="1" t="n">
        <v>0.28</v>
      </c>
      <c r="H384" s="1" t="n">
        <v>1.41</v>
      </c>
      <c r="I384" s="1" t="n">
        <v>4.01</v>
      </c>
      <c r="J384" s="1" t="n">
        <v>110.86</v>
      </c>
      <c r="K384" s="1" t="n">
        <f aca="false">IFERROR(F384/D384,"")</f>
        <v>0.774319813936706</v>
      </c>
    </row>
    <row r="385" customFormat="false" ht="12.8" hidden="false" customHeight="false" outlineLevel="0" collapsed="false">
      <c r="A385" s="1" t="n">
        <v>384</v>
      </c>
      <c r="B385" s="1" t="n">
        <v>109558</v>
      </c>
      <c r="C385" s="1" t="n">
        <v>1201</v>
      </c>
      <c r="D385" s="1" t="n">
        <v>0</v>
      </c>
      <c r="E385" s="1" t="n">
        <v>7</v>
      </c>
      <c r="F385" s="1" t="n">
        <v>376.76</v>
      </c>
      <c r="G385" s="1" t="n">
        <v>1.1</v>
      </c>
      <c r="H385" s="1" t="n">
        <v>0</v>
      </c>
      <c r="I385" s="1" t="n">
        <v>0</v>
      </c>
      <c r="J385" s="1" t="n">
        <v>0</v>
      </c>
      <c r="K385" s="1" t="str">
        <f aca="false">IFERROR(F385/D385,"")</f>
        <v/>
      </c>
    </row>
    <row r="386" customFormat="false" ht="12.8" hidden="false" customHeight="false" outlineLevel="0" collapsed="false">
      <c r="A386" s="1" t="n">
        <v>385</v>
      </c>
      <c r="B386" s="1" t="n">
        <v>17750</v>
      </c>
      <c r="C386" s="1" t="n">
        <v>413</v>
      </c>
      <c r="D386" s="1" t="n">
        <v>675.86</v>
      </c>
      <c r="E386" s="1" t="n">
        <v>0</v>
      </c>
      <c r="F386" s="1" t="n">
        <v>0</v>
      </c>
      <c r="G386" s="1" t="n">
        <v>2.33</v>
      </c>
      <c r="H386" s="1" t="n">
        <v>1.64</v>
      </c>
      <c r="I386" s="1" t="n">
        <v>38.08</v>
      </c>
      <c r="K386" s="1" t="n">
        <f aca="false">IFERROR(F386/D386,"")</f>
        <v>0</v>
      </c>
    </row>
    <row r="387" customFormat="false" ht="12.8" hidden="false" customHeight="false" outlineLevel="0" collapsed="false">
      <c r="A387" s="1" t="n">
        <v>386</v>
      </c>
      <c r="B387" s="1" t="n">
        <v>117048</v>
      </c>
      <c r="C387" s="1" t="n">
        <v>1747</v>
      </c>
      <c r="D387" s="1" t="n">
        <v>2588.12</v>
      </c>
      <c r="E387" s="1" t="n">
        <v>11</v>
      </c>
      <c r="F387" s="1" t="n">
        <v>725.38</v>
      </c>
      <c r="G387" s="1" t="n">
        <v>1.49</v>
      </c>
      <c r="H387" s="1" t="n">
        <v>1.48</v>
      </c>
      <c r="I387" s="1" t="n">
        <v>22.11</v>
      </c>
      <c r="J387" s="1" t="n">
        <v>235.28</v>
      </c>
      <c r="K387" s="1" t="n">
        <f aca="false">IFERROR(F387/D387,"")</f>
        <v>0.280272939430938</v>
      </c>
    </row>
    <row r="388" customFormat="false" ht="12.8" hidden="false" customHeight="false" outlineLevel="0" collapsed="false">
      <c r="A388" s="1" t="n">
        <v>387</v>
      </c>
      <c r="B388" s="1" t="n">
        <v>350972</v>
      </c>
      <c r="C388" s="1" t="n">
        <v>2587</v>
      </c>
      <c r="D388" s="1" t="n">
        <v>0</v>
      </c>
      <c r="E388" s="1" t="n">
        <v>32</v>
      </c>
      <c r="F388" s="1" t="n">
        <v>2080.04</v>
      </c>
      <c r="G388" s="1" t="n">
        <v>0.74</v>
      </c>
      <c r="H388" s="1" t="n">
        <v>0</v>
      </c>
      <c r="I388" s="1" t="n">
        <v>0</v>
      </c>
      <c r="J388" s="1" t="n">
        <v>0</v>
      </c>
      <c r="K388" s="1" t="str">
        <f aca="false">IFERROR(F388/D388,"")</f>
        <v/>
      </c>
    </row>
    <row r="389" customFormat="false" ht="12.8" hidden="false" customHeight="false" outlineLevel="0" collapsed="false">
      <c r="A389" s="1" t="n">
        <v>388</v>
      </c>
      <c r="B389" s="1" t="n">
        <v>27940</v>
      </c>
      <c r="C389" s="1" t="n">
        <v>534</v>
      </c>
      <c r="D389" s="1" t="n">
        <v>0</v>
      </c>
      <c r="E389" s="1" t="n">
        <v>0</v>
      </c>
      <c r="F389" s="1" t="n">
        <v>0</v>
      </c>
      <c r="G389" s="1" t="n">
        <v>1.91</v>
      </c>
      <c r="H389" s="1" t="n">
        <v>0</v>
      </c>
      <c r="I389" s="1" t="n">
        <v>0</v>
      </c>
      <c r="K389" s="1" t="str">
        <f aca="false">IFERROR(F389/D389,"")</f>
        <v/>
      </c>
    </row>
    <row r="390" customFormat="false" ht="12.8" hidden="false" customHeight="false" outlineLevel="0" collapsed="false">
      <c r="A390" s="1" t="n">
        <v>389</v>
      </c>
      <c r="B390" s="1" t="n">
        <v>480419</v>
      </c>
      <c r="C390" s="1" t="n">
        <v>3177</v>
      </c>
      <c r="D390" s="1" t="n">
        <v>4711.85</v>
      </c>
      <c r="E390" s="1" t="n">
        <v>35</v>
      </c>
      <c r="F390" s="1" t="n">
        <v>3044.59</v>
      </c>
      <c r="G390" s="1" t="n">
        <v>0.66</v>
      </c>
      <c r="H390" s="1" t="n">
        <v>1.48</v>
      </c>
      <c r="I390" s="1" t="n">
        <v>9.81</v>
      </c>
      <c r="J390" s="1" t="n">
        <v>134.62</v>
      </c>
      <c r="K390" s="1" t="n">
        <f aca="false">IFERROR(F390/D390,"")</f>
        <v>0.646155968462494</v>
      </c>
    </row>
    <row r="391" customFormat="false" ht="12.8" hidden="false" customHeight="false" outlineLevel="0" collapsed="false">
      <c r="A391" s="1" t="n">
        <v>390</v>
      </c>
      <c r="B391" s="1" t="n">
        <v>134231</v>
      </c>
      <c r="C391" s="1" t="n">
        <v>1904</v>
      </c>
      <c r="D391" s="1" t="n">
        <v>2768.64</v>
      </c>
      <c r="E391" s="1" t="n">
        <v>10</v>
      </c>
      <c r="F391" s="1" t="n">
        <v>857.34</v>
      </c>
      <c r="G391" s="1" t="n">
        <v>1.42</v>
      </c>
      <c r="H391" s="1" t="n">
        <v>1.45</v>
      </c>
      <c r="I391" s="1" t="n">
        <v>20.63</v>
      </c>
      <c r="J391" s="1" t="n">
        <v>276.86</v>
      </c>
      <c r="K391" s="1" t="n">
        <f aca="false">IFERROR(F391/D391,"")</f>
        <v>0.309661061026352</v>
      </c>
    </row>
    <row r="392" customFormat="false" ht="12.8" hidden="false" customHeight="false" outlineLevel="0" collapsed="false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K392" s="1" t="str">
        <f aca="false">IFERROR(F392/D392,"")</f>
        <v/>
      </c>
    </row>
    <row r="393" customFormat="false" ht="12.8" hidden="false" customHeight="false" outlineLevel="0" collapsed="false">
      <c r="A393" s="1" t="n">
        <v>392</v>
      </c>
      <c r="B393" s="1" t="n">
        <v>212129</v>
      </c>
      <c r="C393" s="1" t="n">
        <v>1538</v>
      </c>
      <c r="D393" s="1" t="n">
        <v>2387.8</v>
      </c>
      <c r="E393" s="1" t="n">
        <v>16</v>
      </c>
      <c r="F393" s="1" t="n">
        <v>837.18</v>
      </c>
      <c r="G393" s="1" t="n">
        <v>0.73</v>
      </c>
      <c r="H393" s="1" t="n">
        <v>1.55</v>
      </c>
      <c r="I393" s="1" t="n">
        <v>11.26</v>
      </c>
      <c r="J393" s="1" t="n">
        <v>149.24</v>
      </c>
      <c r="K393" s="1" t="n">
        <f aca="false">IFERROR(F393/D393,"")</f>
        <v>0.350607253538822</v>
      </c>
    </row>
    <row r="394" customFormat="false" ht="12.8" hidden="false" customHeight="false" outlineLevel="0" collapsed="false">
      <c r="A394" s="1" t="n">
        <v>393</v>
      </c>
      <c r="B394" s="1" t="n">
        <v>4261078</v>
      </c>
      <c r="C394" s="1" t="n">
        <v>8522</v>
      </c>
      <c r="D394" s="1" t="n">
        <v>10640.57</v>
      </c>
      <c r="E394" s="1" t="n">
        <v>111</v>
      </c>
      <c r="F394" s="1" t="n">
        <v>8642.93</v>
      </c>
      <c r="G394" s="1" t="n">
        <v>0.2</v>
      </c>
      <c r="H394" s="1" t="n">
        <v>1.25</v>
      </c>
      <c r="I394" s="1" t="n">
        <v>2.5</v>
      </c>
      <c r="J394" s="1" t="n">
        <v>95.86</v>
      </c>
      <c r="K394" s="1" t="n">
        <f aca="false">IFERROR(F394/D394,"")</f>
        <v>0.812261937095475</v>
      </c>
    </row>
    <row r="395" customFormat="false" ht="12.8" hidden="false" customHeight="false" outlineLevel="0" collapsed="false">
      <c r="A395" s="1" t="n">
        <v>394</v>
      </c>
      <c r="B395" s="1" t="n">
        <v>945204</v>
      </c>
      <c r="C395" s="1" t="n">
        <v>3155</v>
      </c>
      <c r="D395" s="1" t="n">
        <v>0</v>
      </c>
      <c r="E395" s="1" t="n">
        <v>37</v>
      </c>
      <c r="F395" s="1" t="n">
        <v>2794.09</v>
      </c>
      <c r="G395" s="1" t="n">
        <v>0.33</v>
      </c>
      <c r="H395" s="1" t="n">
        <v>0</v>
      </c>
      <c r="I395" s="1" t="n">
        <v>0</v>
      </c>
      <c r="J395" s="1" t="n">
        <v>0</v>
      </c>
      <c r="K395" s="1" t="str">
        <f aca="false">IFERROR(F395/D395,"")</f>
        <v/>
      </c>
    </row>
    <row r="396" customFormat="false" ht="12.8" hidden="false" customHeight="false" outlineLevel="0" collapsed="false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K396" s="1" t="str">
        <f aca="false">IFERROR(F396/D396,"")</f>
        <v/>
      </c>
    </row>
    <row r="397" customFormat="false" ht="12.8" hidden="false" customHeight="false" outlineLevel="0" collapsed="false">
      <c r="A397" s="1" t="n">
        <v>396</v>
      </c>
      <c r="B397" s="1" t="n">
        <v>19693</v>
      </c>
      <c r="C397" s="1" t="n">
        <v>200</v>
      </c>
      <c r="D397" s="1" t="n">
        <v>0</v>
      </c>
      <c r="E397" s="1" t="n">
        <v>1</v>
      </c>
      <c r="F397" s="1" t="n">
        <v>83.81</v>
      </c>
      <c r="G397" s="1" t="n">
        <v>1.02</v>
      </c>
      <c r="H397" s="1" t="n">
        <v>0</v>
      </c>
      <c r="I397" s="1" t="n">
        <v>0</v>
      </c>
      <c r="J397" s="1" t="n">
        <v>0</v>
      </c>
      <c r="K397" s="1" t="str">
        <f aca="false">IFERROR(F397/D397,"")</f>
        <v/>
      </c>
    </row>
    <row r="398" customFormat="false" ht="12.8" hidden="false" customHeight="false" outlineLevel="0" collapsed="false">
      <c r="A398" s="1" t="n">
        <v>397</v>
      </c>
      <c r="B398" s="1" t="n">
        <v>69813</v>
      </c>
      <c r="C398" s="1" t="n">
        <v>1619</v>
      </c>
      <c r="D398" s="1" t="n">
        <v>2246.19</v>
      </c>
      <c r="E398" s="1" t="n">
        <v>0</v>
      </c>
      <c r="F398" s="1" t="n">
        <v>0</v>
      </c>
      <c r="G398" s="1" t="n">
        <v>2.32</v>
      </c>
      <c r="H398" s="1" t="n">
        <v>1.39</v>
      </c>
      <c r="I398" s="1" t="n">
        <v>32.17</v>
      </c>
      <c r="K398" s="1" t="n">
        <f aca="false">IFERROR(F398/D398,"")</f>
        <v>0</v>
      </c>
    </row>
    <row r="399" customFormat="false" ht="12.8" hidden="false" customHeight="false" outlineLevel="0" collapsed="false">
      <c r="A399" s="1" t="n">
        <v>398</v>
      </c>
      <c r="B399" s="1" t="n">
        <v>35995</v>
      </c>
      <c r="C399" s="1" t="n">
        <v>555</v>
      </c>
      <c r="D399" s="1" t="n">
        <v>716.68</v>
      </c>
      <c r="E399" s="1" t="n">
        <v>4</v>
      </c>
      <c r="F399" s="1" t="n">
        <v>244.25</v>
      </c>
      <c r="G399" s="1" t="n">
        <v>1.54</v>
      </c>
      <c r="H399" s="1" t="n">
        <v>1.29</v>
      </c>
      <c r="I399" s="1" t="n">
        <v>19.91</v>
      </c>
      <c r="J399" s="1" t="n">
        <v>179.17</v>
      </c>
      <c r="K399" s="1" t="n">
        <f aca="false">IFERROR(F399/D399,"")</f>
        <v>0.340807612881621</v>
      </c>
    </row>
    <row r="400" customFormat="false" ht="12.8" hidden="false" customHeight="false" outlineLevel="0" collapsed="false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K400" s="1" t="str">
        <f aca="false">IFERROR(F400/D400,"")</f>
        <v/>
      </c>
    </row>
    <row r="401" customFormat="false" ht="12.8" hidden="false" customHeight="false" outlineLevel="0" collapsed="false">
      <c r="A401" s="1" t="n">
        <v>400</v>
      </c>
      <c r="B401" s="1" t="n">
        <v>12347</v>
      </c>
      <c r="C401" s="1" t="n">
        <v>105</v>
      </c>
      <c r="D401" s="1" t="n">
        <v>170.39</v>
      </c>
      <c r="E401" s="1" t="n">
        <v>2</v>
      </c>
      <c r="F401" s="1" t="n">
        <v>225.45</v>
      </c>
      <c r="G401" s="1" t="n">
        <v>0.85</v>
      </c>
      <c r="H401" s="1" t="n">
        <v>1.62</v>
      </c>
      <c r="I401" s="1" t="n">
        <v>13.8</v>
      </c>
      <c r="J401" s="1" t="n">
        <v>85.2</v>
      </c>
      <c r="K401" s="1" t="n">
        <f aca="false">IFERROR(F401/D401,"")</f>
        <v>1.32314102940313</v>
      </c>
    </row>
    <row r="402" customFormat="false" ht="12.8" hidden="false" customHeight="false" outlineLevel="0" collapsed="false">
      <c r="A402" s="1" t="n">
        <v>401</v>
      </c>
      <c r="B402" s="1" t="n">
        <v>251527</v>
      </c>
      <c r="C402" s="1" t="n">
        <v>1391</v>
      </c>
      <c r="D402" s="1" t="n">
        <v>0</v>
      </c>
      <c r="E402" s="1" t="n">
        <v>15</v>
      </c>
      <c r="F402" s="1" t="n">
        <v>1023.05</v>
      </c>
      <c r="G402" s="1" t="n">
        <v>0.55</v>
      </c>
      <c r="H402" s="1" t="n">
        <v>0</v>
      </c>
      <c r="I402" s="1" t="n">
        <v>0</v>
      </c>
      <c r="J402" s="1" t="n">
        <v>0</v>
      </c>
      <c r="K402" s="1" t="str">
        <f aca="false">IFERROR(F402/D402,"")</f>
        <v/>
      </c>
    </row>
    <row r="403" customFormat="false" ht="12.8" hidden="false" customHeight="false" outlineLevel="0" collapsed="false">
      <c r="A403" s="1" t="n">
        <v>402</v>
      </c>
      <c r="B403" s="1" t="n">
        <v>13923</v>
      </c>
      <c r="C403" s="1" t="n">
        <v>182</v>
      </c>
      <c r="D403" s="1" t="n">
        <v>0</v>
      </c>
      <c r="E403" s="1" t="n">
        <v>1</v>
      </c>
      <c r="F403" s="1" t="n">
        <v>36.5</v>
      </c>
      <c r="G403" s="1" t="n">
        <v>1.31</v>
      </c>
      <c r="H403" s="1" t="n">
        <v>0</v>
      </c>
      <c r="I403" s="1" t="n">
        <v>0</v>
      </c>
      <c r="J403" s="1" t="n">
        <v>0</v>
      </c>
      <c r="K403" s="1" t="str">
        <f aca="false">IFERROR(F403/D403,"")</f>
        <v/>
      </c>
    </row>
    <row r="404" customFormat="false" ht="12.8" hidden="false" customHeight="false" outlineLevel="0" collapsed="false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K404" s="1" t="str">
        <f aca="false">IFERROR(F404/D404,"")</f>
        <v/>
      </c>
    </row>
    <row r="405" customFormat="false" ht="12.8" hidden="false" customHeight="false" outlineLevel="0" collapsed="false">
      <c r="A405" s="1" t="n">
        <v>404</v>
      </c>
      <c r="B405" s="1" t="n">
        <v>420359</v>
      </c>
      <c r="C405" s="1" t="n">
        <v>1705</v>
      </c>
      <c r="D405" s="1" t="n">
        <v>2593.23</v>
      </c>
      <c r="E405" s="1" t="n">
        <v>19</v>
      </c>
      <c r="F405" s="1" t="n">
        <v>1743.01</v>
      </c>
      <c r="G405" s="1" t="n">
        <v>0.41</v>
      </c>
      <c r="H405" s="1" t="n">
        <v>1.52</v>
      </c>
      <c r="I405" s="1" t="n">
        <v>6.17</v>
      </c>
      <c r="J405" s="1" t="n">
        <v>136.49</v>
      </c>
      <c r="K405" s="1" t="n">
        <f aca="false">IFERROR(F405/D405,"")</f>
        <v>0.67213860706532</v>
      </c>
    </row>
    <row r="406" customFormat="false" ht="12.8" hidden="false" customHeight="false" outlineLevel="0" collapsed="false">
      <c r="A406" s="1" t="n">
        <v>405</v>
      </c>
      <c r="B406" s="1" t="n">
        <v>58026</v>
      </c>
      <c r="C406" s="1" t="n">
        <v>540</v>
      </c>
      <c r="D406" s="1" t="n">
        <v>788.74</v>
      </c>
      <c r="E406" s="1" t="n">
        <v>2</v>
      </c>
      <c r="F406" s="1" t="n">
        <v>46.34</v>
      </c>
      <c r="G406" s="1" t="n">
        <v>0.93</v>
      </c>
      <c r="H406" s="1" t="n">
        <v>1.46</v>
      </c>
      <c r="I406" s="1" t="n">
        <v>13.59</v>
      </c>
      <c r="J406" s="1" t="n">
        <v>394.37</v>
      </c>
      <c r="K406" s="1" t="n">
        <f aca="false">IFERROR(F406/D406,"")</f>
        <v>0.0587519334634987</v>
      </c>
    </row>
    <row r="407" customFormat="false" ht="12.8" hidden="false" customHeight="false" outlineLevel="0" collapsed="false">
      <c r="A407" s="1" t="n">
        <v>406</v>
      </c>
      <c r="B407" s="1" t="n">
        <v>245419</v>
      </c>
      <c r="C407" s="1" t="n">
        <v>1070</v>
      </c>
      <c r="D407" s="1" t="n">
        <v>1348.19</v>
      </c>
      <c r="E407" s="1" t="n">
        <v>10</v>
      </c>
      <c r="F407" s="1" t="n">
        <v>640.19</v>
      </c>
      <c r="G407" s="1" t="n">
        <v>0.44</v>
      </c>
      <c r="H407" s="1" t="n">
        <v>1.26</v>
      </c>
      <c r="I407" s="1" t="n">
        <v>5.49</v>
      </c>
      <c r="J407" s="1" t="n">
        <v>134.82</v>
      </c>
      <c r="K407" s="1" t="n">
        <f aca="false">IFERROR(F407/D407,"")</f>
        <v>0.474851467523124</v>
      </c>
    </row>
    <row r="408" customFormat="false" ht="12.8" hidden="false" customHeight="false" outlineLevel="0" collapsed="false">
      <c r="A408" s="1" t="n">
        <v>407</v>
      </c>
      <c r="B408" s="1" t="n">
        <v>1346</v>
      </c>
      <c r="C408" s="1" t="n">
        <v>34</v>
      </c>
      <c r="D408" s="1" t="n">
        <v>46.15</v>
      </c>
      <c r="E408" s="1" t="n">
        <v>0</v>
      </c>
      <c r="F408" s="1" t="n">
        <v>0</v>
      </c>
      <c r="G408" s="1" t="n">
        <v>2.53</v>
      </c>
      <c r="H408" s="1" t="n">
        <v>1.36</v>
      </c>
      <c r="I408" s="1" t="n">
        <v>34.29</v>
      </c>
      <c r="K408" s="1" t="n">
        <f aca="false">IFERROR(F408/D408,"")</f>
        <v>0</v>
      </c>
    </row>
    <row r="409" customFormat="false" ht="12.8" hidden="false" customHeight="false" outlineLevel="0" collapsed="false">
      <c r="A409" s="1" t="n">
        <v>408</v>
      </c>
      <c r="B409" s="1" t="n">
        <v>411989</v>
      </c>
      <c r="C409" s="1" t="n">
        <v>1725</v>
      </c>
      <c r="D409" s="1" t="n">
        <v>2183.69</v>
      </c>
      <c r="E409" s="1" t="n">
        <v>16</v>
      </c>
      <c r="F409" s="1" t="n">
        <v>1085.9</v>
      </c>
      <c r="G409" s="1" t="n">
        <v>0.42</v>
      </c>
      <c r="H409" s="1" t="n">
        <v>1.27</v>
      </c>
      <c r="I409" s="1" t="n">
        <v>5.3</v>
      </c>
      <c r="J409" s="1" t="n">
        <v>136.48</v>
      </c>
      <c r="K409" s="1" t="n">
        <f aca="false">IFERROR(F409/D409,"")</f>
        <v>0.497277543973733</v>
      </c>
    </row>
    <row r="410" customFormat="false" ht="12.8" hidden="false" customHeight="false" outlineLevel="0" collapsed="false">
      <c r="A410" s="1" t="n">
        <v>409</v>
      </c>
      <c r="B410" s="1" t="n">
        <v>575857</v>
      </c>
      <c r="C410" s="1" t="n">
        <v>5720</v>
      </c>
      <c r="D410" s="1" t="n">
        <v>0</v>
      </c>
      <c r="E410" s="1" t="n">
        <v>46</v>
      </c>
      <c r="F410" s="1" t="n">
        <v>3902.35</v>
      </c>
      <c r="G410" s="1" t="n">
        <v>0.99</v>
      </c>
      <c r="H410" s="1" t="n">
        <v>0</v>
      </c>
      <c r="I410" s="1" t="n">
        <v>0</v>
      </c>
      <c r="J410" s="1" t="n">
        <v>0</v>
      </c>
      <c r="K410" s="1" t="str">
        <f aca="false">IFERROR(F410/D410,"")</f>
        <v/>
      </c>
    </row>
    <row r="411" customFormat="false" ht="12.8" hidden="false" customHeight="false" outlineLevel="0" collapsed="false">
      <c r="A411" s="1" t="n">
        <v>410</v>
      </c>
      <c r="B411" s="1" t="n">
        <v>224310</v>
      </c>
      <c r="C411" s="1" t="n">
        <v>1020</v>
      </c>
      <c r="D411" s="1" t="n">
        <v>1497.11</v>
      </c>
      <c r="E411" s="1" t="n">
        <v>10</v>
      </c>
      <c r="F411" s="1" t="n">
        <v>709.37</v>
      </c>
      <c r="G411" s="1" t="n">
        <v>0.45</v>
      </c>
      <c r="H411" s="1" t="n">
        <v>1.47</v>
      </c>
      <c r="I411" s="1" t="n">
        <v>6.67</v>
      </c>
      <c r="J411" s="1" t="n">
        <v>149.71</v>
      </c>
      <c r="K411" s="1" t="n">
        <f aca="false">IFERROR(F411/D411,"")</f>
        <v>0.473826238552945</v>
      </c>
    </row>
    <row r="412" customFormat="false" ht="12.8" hidden="false" customHeight="false" outlineLevel="0" collapsed="false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K412" s="1" t="str">
        <f aca="false">IFERROR(F412/D412,"")</f>
        <v/>
      </c>
    </row>
    <row r="413" customFormat="false" ht="12.8" hidden="false" customHeight="false" outlineLevel="0" collapsed="false">
      <c r="A413" s="1" t="n">
        <v>412</v>
      </c>
      <c r="B413" s="1" t="n">
        <v>162448</v>
      </c>
      <c r="C413" s="1" t="n">
        <v>717</v>
      </c>
      <c r="D413" s="1" t="n">
        <v>1109.87</v>
      </c>
      <c r="E413" s="1" t="n">
        <v>12</v>
      </c>
      <c r="F413" s="1" t="n">
        <v>729.41</v>
      </c>
      <c r="G413" s="1" t="n">
        <v>0.44</v>
      </c>
      <c r="H413" s="1" t="n">
        <v>1.55</v>
      </c>
      <c r="I413" s="1" t="n">
        <v>6.83</v>
      </c>
      <c r="J413" s="1" t="n">
        <v>92.49</v>
      </c>
      <c r="K413" s="1" t="n">
        <f aca="false">IFERROR(F413/D413,"")</f>
        <v>0.657203095858074</v>
      </c>
    </row>
    <row r="414" customFormat="false" ht="12.8" hidden="false" customHeight="false" outlineLevel="0" collapsed="false">
      <c r="A414" s="1" t="n">
        <v>413</v>
      </c>
      <c r="B414" s="1" t="n">
        <v>50239</v>
      </c>
      <c r="C414" s="1" t="n">
        <v>706</v>
      </c>
      <c r="D414" s="1" t="n">
        <v>0</v>
      </c>
      <c r="E414" s="1" t="n">
        <v>3</v>
      </c>
      <c r="F414" s="1" t="n">
        <v>146.12</v>
      </c>
      <c r="G414" s="1" t="n">
        <v>1.41</v>
      </c>
      <c r="H414" s="1" t="n">
        <v>0</v>
      </c>
      <c r="I414" s="1" t="n">
        <v>0</v>
      </c>
      <c r="J414" s="1" t="n">
        <v>0</v>
      </c>
      <c r="K414" s="1" t="str">
        <f aca="false">IFERROR(F414/D414,"")</f>
        <v/>
      </c>
    </row>
    <row r="415" customFormat="false" ht="12.8" hidden="false" customHeight="false" outlineLevel="0" collapsed="false">
      <c r="A415" s="1" t="n">
        <v>414</v>
      </c>
      <c r="B415" s="1" t="n">
        <v>56222</v>
      </c>
      <c r="C415" s="1" t="n">
        <v>632</v>
      </c>
      <c r="D415" s="1" t="n">
        <v>838.85</v>
      </c>
      <c r="E415" s="1" t="n">
        <v>6</v>
      </c>
      <c r="F415" s="1" t="n">
        <v>444.31</v>
      </c>
      <c r="G415" s="1" t="n">
        <v>1.12</v>
      </c>
      <c r="H415" s="1" t="n">
        <v>1.33</v>
      </c>
      <c r="I415" s="1" t="n">
        <v>14.92</v>
      </c>
      <c r="J415" s="1" t="n">
        <v>139.81</v>
      </c>
      <c r="K415" s="1" t="n">
        <f aca="false">IFERROR(F415/D415,"")</f>
        <v>0.529665613637718</v>
      </c>
    </row>
    <row r="416" customFormat="false" ht="12.8" hidden="false" customHeight="false" outlineLevel="0" collapsed="false">
      <c r="A416" s="1" t="n">
        <v>415</v>
      </c>
      <c r="B416" s="1" t="n">
        <v>333289</v>
      </c>
      <c r="C416" s="1" t="n">
        <v>2884</v>
      </c>
      <c r="D416" s="1" t="n">
        <v>4182.27</v>
      </c>
      <c r="E416" s="1" t="n">
        <v>24</v>
      </c>
      <c r="F416" s="1" t="n">
        <v>2078.29</v>
      </c>
      <c r="G416" s="1" t="n">
        <v>0.87</v>
      </c>
      <c r="H416" s="1" t="n">
        <v>1.45</v>
      </c>
      <c r="I416" s="1" t="n">
        <v>12.55</v>
      </c>
      <c r="J416" s="1" t="n">
        <v>174.26</v>
      </c>
      <c r="K416" s="1" t="n">
        <f aca="false">IFERROR(F416/D416,"")</f>
        <v>0.496928701399001</v>
      </c>
    </row>
    <row r="417" customFormat="false" ht="12.8" hidden="false" customHeight="false" outlineLevel="0" collapsed="false">
      <c r="A417" s="1" t="n">
        <v>416</v>
      </c>
      <c r="B417" s="1" t="n">
        <v>81976</v>
      </c>
      <c r="C417" s="1" t="n">
        <v>817</v>
      </c>
      <c r="D417" s="1" t="n">
        <v>1058.89</v>
      </c>
      <c r="E417" s="1" t="n">
        <v>3</v>
      </c>
      <c r="F417" s="1" t="n">
        <v>244.98</v>
      </c>
      <c r="G417" s="1" t="n">
        <v>1</v>
      </c>
      <c r="H417" s="1" t="n">
        <v>1.3</v>
      </c>
      <c r="I417" s="1" t="n">
        <v>12.92</v>
      </c>
      <c r="J417" s="1" t="n">
        <v>352.96</v>
      </c>
      <c r="K417" s="1" t="n">
        <f aca="false">IFERROR(F417/D417,"")</f>
        <v>0.231355476017339</v>
      </c>
    </row>
    <row r="418" customFormat="false" ht="12.8" hidden="false" customHeight="false" outlineLevel="0" collapsed="false">
      <c r="A418" s="1" t="n">
        <v>417</v>
      </c>
      <c r="B418" s="1" t="n">
        <v>66410</v>
      </c>
      <c r="C418" s="1" t="n">
        <v>558</v>
      </c>
      <c r="D418" s="1" t="n">
        <v>0</v>
      </c>
      <c r="E418" s="1" t="n">
        <v>6</v>
      </c>
      <c r="F418" s="1" t="n">
        <v>326.43</v>
      </c>
      <c r="G418" s="1" t="n">
        <v>0.84</v>
      </c>
      <c r="H418" s="1" t="n">
        <v>0</v>
      </c>
      <c r="I418" s="1" t="n">
        <v>0</v>
      </c>
      <c r="J418" s="1" t="n">
        <v>0</v>
      </c>
      <c r="K418" s="1" t="str">
        <f aca="false">IFERROR(F418/D418,"")</f>
        <v/>
      </c>
    </row>
    <row r="419" customFormat="false" ht="12.8" hidden="false" customHeight="false" outlineLevel="0" collapsed="false">
      <c r="A419" s="1" t="n">
        <v>418</v>
      </c>
      <c r="B419" s="1" t="n">
        <v>1853</v>
      </c>
      <c r="C419" s="1" t="n">
        <v>25</v>
      </c>
      <c r="D419" s="1" t="n">
        <v>48.16</v>
      </c>
      <c r="E419" s="1" t="n">
        <v>0</v>
      </c>
      <c r="F419" s="1" t="n">
        <v>0</v>
      </c>
      <c r="G419" s="1" t="n">
        <v>1.35</v>
      </c>
      <c r="H419" s="1" t="n">
        <v>1.93</v>
      </c>
      <c r="I419" s="1" t="n">
        <v>25.99</v>
      </c>
      <c r="K419" s="1" t="n">
        <f aca="false">IFERROR(F419/D419,"")</f>
        <v>0</v>
      </c>
    </row>
    <row r="420" customFormat="false" ht="12.8" hidden="false" customHeight="false" outlineLevel="0" collapsed="false">
      <c r="A420" s="1" t="n">
        <v>419</v>
      </c>
      <c r="B420" s="1" t="n">
        <v>327416</v>
      </c>
      <c r="C420" s="1" t="n">
        <v>2107</v>
      </c>
      <c r="D420" s="1" t="n">
        <v>2816.57</v>
      </c>
      <c r="E420" s="1" t="n">
        <v>22</v>
      </c>
      <c r="F420" s="1" t="n">
        <v>1582.78</v>
      </c>
      <c r="G420" s="1" t="n">
        <v>0.64</v>
      </c>
      <c r="H420" s="1" t="n">
        <v>1.34</v>
      </c>
      <c r="I420" s="1" t="n">
        <v>8.6</v>
      </c>
      <c r="J420" s="1" t="n">
        <v>128.03</v>
      </c>
      <c r="K420" s="1" t="n">
        <f aca="false">IFERROR(F420/D420,"")</f>
        <v>0.56195301377207</v>
      </c>
    </row>
    <row r="421" customFormat="false" ht="12.8" hidden="false" customHeight="false" outlineLevel="0" collapsed="false">
      <c r="A421" s="1" t="n">
        <v>420</v>
      </c>
      <c r="B421" s="1" t="n">
        <v>121474</v>
      </c>
      <c r="C421" s="1" t="n">
        <v>2081</v>
      </c>
      <c r="D421" s="1" t="n">
        <v>3092.13</v>
      </c>
      <c r="E421" s="1" t="n">
        <v>7</v>
      </c>
      <c r="F421" s="1" t="n">
        <v>604.49</v>
      </c>
      <c r="G421" s="1" t="n">
        <v>1.71</v>
      </c>
      <c r="H421" s="1" t="n">
        <v>1.49</v>
      </c>
      <c r="I421" s="1" t="n">
        <v>25.46</v>
      </c>
      <c r="J421" s="1" t="n">
        <v>441.73</v>
      </c>
      <c r="K421" s="1" t="n">
        <f aca="false">IFERROR(F421/D421,"")</f>
        <v>0.195493074353278</v>
      </c>
    </row>
    <row r="422" customFormat="false" ht="12.8" hidden="false" customHeight="false" outlineLevel="0" collapsed="false">
      <c r="A422" s="1" t="n">
        <v>421</v>
      </c>
      <c r="B422" s="1" t="n">
        <v>172339</v>
      </c>
      <c r="C422" s="1" t="n">
        <v>1702</v>
      </c>
      <c r="D422" s="1" t="n">
        <v>2373.07</v>
      </c>
      <c r="E422" s="1" t="n">
        <v>13</v>
      </c>
      <c r="F422" s="1" t="n">
        <v>1212.46</v>
      </c>
      <c r="G422" s="1" t="n">
        <v>0.99</v>
      </c>
      <c r="H422" s="1" t="n">
        <v>1.39</v>
      </c>
      <c r="I422" s="1" t="n">
        <v>13.77</v>
      </c>
      <c r="J422" s="1" t="n">
        <v>182.54</v>
      </c>
      <c r="K422" s="1" t="n">
        <f aca="false">IFERROR(F422/D422,"")</f>
        <v>0.510924667203243</v>
      </c>
    </row>
    <row r="423" customFormat="false" ht="12.8" hidden="false" customHeight="false" outlineLevel="0" collapsed="false">
      <c r="A423" s="1" t="n">
        <v>422</v>
      </c>
      <c r="B423" s="1" t="n">
        <v>20078</v>
      </c>
      <c r="C423" s="1" t="n">
        <v>215</v>
      </c>
      <c r="D423" s="1" t="n">
        <v>0</v>
      </c>
      <c r="E423" s="1" t="n">
        <v>3</v>
      </c>
      <c r="F423" s="1" t="n">
        <v>147.31</v>
      </c>
      <c r="G423" s="1" t="n">
        <v>1.07</v>
      </c>
      <c r="H423" s="1" t="n">
        <v>0</v>
      </c>
      <c r="I423" s="1" t="n">
        <v>0</v>
      </c>
      <c r="J423" s="1" t="n">
        <v>0</v>
      </c>
      <c r="K423" s="1" t="str">
        <f aca="false">IFERROR(F423/D423,"")</f>
        <v/>
      </c>
    </row>
    <row r="424" customFormat="false" ht="12.8" hidden="false" customHeight="false" outlineLevel="0" collapsed="false">
      <c r="A424" s="1" t="n">
        <v>423</v>
      </c>
      <c r="B424" s="1" t="n">
        <v>31610</v>
      </c>
      <c r="C424" s="1" t="n">
        <v>231</v>
      </c>
      <c r="D424" s="1" t="n">
        <v>379.44</v>
      </c>
      <c r="E424" s="1" t="n">
        <v>3</v>
      </c>
      <c r="F424" s="1" t="n">
        <v>194.74</v>
      </c>
      <c r="G424" s="1" t="n">
        <v>0.73</v>
      </c>
      <c r="H424" s="1" t="n">
        <v>1.64</v>
      </c>
      <c r="I424" s="1" t="n">
        <v>12</v>
      </c>
      <c r="J424" s="1" t="n">
        <v>126.48</v>
      </c>
      <c r="K424" s="1" t="n">
        <f aca="false">IFERROR(F424/D424,"")</f>
        <v>0.513230023192073</v>
      </c>
    </row>
    <row r="425" customFormat="false" ht="12.8" hidden="false" customHeight="false" outlineLevel="0" collapsed="false">
      <c r="A425" s="1" t="n">
        <v>424</v>
      </c>
      <c r="B425" s="1" t="n">
        <v>533474</v>
      </c>
      <c r="C425" s="1" t="n">
        <v>2395</v>
      </c>
      <c r="D425" s="1" t="n">
        <v>3333.5</v>
      </c>
      <c r="E425" s="1" t="n">
        <v>21</v>
      </c>
      <c r="F425" s="1" t="n">
        <v>1513.45</v>
      </c>
      <c r="G425" s="1" t="n">
        <v>0.45</v>
      </c>
      <c r="H425" s="1" t="n">
        <v>1.39</v>
      </c>
      <c r="I425" s="1" t="n">
        <v>6.25</v>
      </c>
      <c r="J425" s="1" t="n">
        <v>158.74</v>
      </c>
      <c r="K425" s="1" t="n">
        <f aca="false">IFERROR(F425/D425,"")</f>
        <v>0.454012299385031</v>
      </c>
    </row>
    <row r="426" customFormat="false" ht="12.8" hidden="false" customHeight="false" outlineLevel="0" collapsed="false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K426" s="1" t="str">
        <f aca="false">IFERROR(F426/D426,"")</f>
        <v/>
      </c>
    </row>
    <row r="427" customFormat="false" ht="12.8" hidden="false" customHeight="false" outlineLevel="0" collapsed="false">
      <c r="A427" s="1" t="n">
        <v>426</v>
      </c>
      <c r="B427" s="1" t="n">
        <v>894604</v>
      </c>
      <c r="C427" s="1" t="n">
        <v>4137</v>
      </c>
      <c r="D427" s="1" t="n">
        <v>0</v>
      </c>
      <c r="E427" s="1" t="n">
        <v>56</v>
      </c>
      <c r="F427" s="1" t="n">
        <v>4160.81</v>
      </c>
      <c r="G427" s="1" t="n">
        <v>0.46</v>
      </c>
      <c r="H427" s="1" t="n">
        <v>0</v>
      </c>
      <c r="I427" s="1" t="n">
        <v>0</v>
      </c>
      <c r="J427" s="1" t="n">
        <v>0</v>
      </c>
      <c r="K427" s="1" t="str">
        <f aca="false">IFERROR(F427/D427,"")</f>
        <v/>
      </c>
    </row>
    <row r="428" customFormat="false" ht="12.8" hidden="false" customHeight="false" outlineLevel="0" collapsed="false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K428" s="1" t="str">
        <f aca="false">IFERROR(F428/D428,"")</f>
        <v/>
      </c>
    </row>
    <row r="429" customFormat="false" ht="12.8" hidden="false" customHeight="false" outlineLevel="0" collapsed="false">
      <c r="A429" s="1" t="n">
        <v>428</v>
      </c>
      <c r="B429" s="1" t="n">
        <v>770065</v>
      </c>
      <c r="C429" s="1" t="n">
        <v>3902</v>
      </c>
      <c r="D429" s="1" t="n">
        <v>0</v>
      </c>
      <c r="E429" s="1" t="n">
        <v>42</v>
      </c>
      <c r="F429" s="1" t="n">
        <v>2977.24</v>
      </c>
      <c r="G429" s="1" t="n">
        <v>0.51</v>
      </c>
      <c r="H429" s="1" t="n">
        <v>0</v>
      </c>
      <c r="I429" s="1" t="n">
        <v>0</v>
      </c>
      <c r="J429" s="1" t="n">
        <v>0</v>
      </c>
      <c r="K429" s="1" t="str">
        <f aca="false">IFERROR(F429/D429,"")</f>
        <v/>
      </c>
    </row>
    <row r="430" customFormat="false" ht="12.8" hidden="false" customHeight="false" outlineLevel="0" collapsed="false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K430" s="1" t="str">
        <f aca="false">IFERROR(F430/D430,"")</f>
        <v/>
      </c>
    </row>
    <row r="431" customFormat="false" ht="12.8" hidden="false" customHeight="false" outlineLevel="0" collapsed="false">
      <c r="A431" s="1" t="n">
        <v>430</v>
      </c>
      <c r="B431" s="1" t="n">
        <v>252178</v>
      </c>
      <c r="C431" s="1" t="n">
        <v>1931</v>
      </c>
      <c r="D431" s="1" t="n">
        <v>2768.15</v>
      </c>
      <c r="E431" s="1" t="n">
        <v>14</v>
      </c>
      <c r="F431" s="1" t="n">
        <v>931.99</v>
      </c>
      <c r="G431" s="1" t="n">
        <v>0.77</v>
      </c>
      <c r="H431" s="1" t="n">
        <v>1.43</v>
      </c>
      <c r="I431" s="1" t="n">
        <v>10.98</v>
      </c>
      <c r="J431" s="1" t="n">
        <v>197.73</v>
      </c>
      <c r="K431" s="1" t="n">
        <f aca="false">IFERROR(F431/D431,"")</f>
        <v>0.33668334447194</v>
      </c>
    </row>
    <row r="432" customFormat="false" ht="12.8" hidden="false" customHeight="false" outlineLevel="0" collapsed="false">
      <c r="A432" s="1" t="n">
        <v>431</v>
      </c>
      <c r="B432" s="1" t="n">
        <v>23921</v>
      </c>
      <c r="C432" s="1" t="n">
        <v>436</v>
      </c>
      <c r="D432" s="1" t="n">
        <v>0</v>
      </c>
      <c r="E432" s="1" t="n">
        <v>0</v>
      </c>
      <c r="F432" s="1" t="n">
        <v>0</v>
      </c>
      <c r="G432" s="1" t="n">
        <v>1.82</v>
      </c>
      <c r="H432" s="1" t="n">
        <v>0</v>
      </c>
      <c r="I432" s="1" t="n">
        <v>0</v>
      </c>
      <c r="K432" s="1" t="str">
        <f aca="false">IFERROR(F432/D432,"")</f>
        <v/>
      </c>
    </row>
    <row r="433" customFormat="false" ht="12.8" hidden="false" customHeight="false" outlineLevel="0" collapsed="false">
      <c r="A433" s="1" t="n">
        <v>432</v>
      </c>
      <c r="B433" s="1" t="n">
        <v>428462</v>
      </c>
      <c r="C433" s="1" t="n">
        <v>1712</v>
      </c>
      <c r="D433" s="1" t="n">
        <v>0</v>
      </c>
      <c r="E433" s="1" t="n">
        <v>19</v>
      </c>
      <c r="F433" s="1" t="n">
        <v>1102.25</v>
      </c>
      <c r="G433" s="1" t="n">
        <v>0.4</v>
      </c>
      <c r="H433" s="1" t="n">
        <v>0</v>
      </c>
      <c r="I433" s="1" t="n">
        <v>0</v>
      </c>
      <c r="J433" s="1" t="n">
        <v>0</v>
      </c>
      <c r="K433" s="1" t="str">
        <f aca="false">IFERROR(F433/D433,"")</f>
        <v/>
      </c>
    </row>
    <row r="434" customFormat="false" ht="12.8" hidden="false" customHeight="false" outlineLevel="0" collapsed="false">
      <c r="A434" s="1" t="n">
        <v>433</v>
      </c>
      <c r="B434" s="1" t="n">
        <v>2790</v>
      </c>
      <c r="C434" s="1" t="n">
        <v>83</v>
      </c>
      <c r="D434" s="1" t="n">
        <v>130.2</v>
      </c>
      <c r="E434" s="1" t="n">
        <v>0</v>
      </c>
      <c r="F434" s="1" t="n">
        <v>0</v>
      </c>
      <c r="G434" s="1" t="n">
        <v>2.97</v>
      </c>
      <c r="H434" s="1" t="n">
        <v>1.57</v>
      </c>
      <c r="I434" s="1" t="n">
        <v>46.67</v>
      </c>
      <c r="K434" s="1" t="n">
        <f aca="false">IFERROR(F434/D434,"")</f>
        <v>0</v>
      </c>
    </row>
    <row r="435" customFormat="false" ht="12.8" hidden="false" customHeight="false" outlineLevel="0" collapsed="false">
      <c r="A435" s="1" t="n">
        <v>434</v>
      </c>
      <c r="B435" s="1" t="n">
        <v>326795</v>
      </c>
      <c r="C435" s="1" t="n">
        <v>4101</v>
      </c>
      <c r="D435" s="1" t="n">
        <v>5840.99</v>
      </c>
      <c r="E435" s="1" t="n">
        <v>25</v>
      </c>
      <c r="F435" s="1" t="n">
        <v>2023.32</v>
      </c>
      <c r="G435" s="1" t="n">
        <v>1.25</v>
      </c>
      <c r="H435" s="1" t="n">
        <v>1.42</v>
      </c>
      <c r="I435" s="1" t="n">
        <v>17.87</v>
      </c>
      <c r="J435" s="1" t="n">
        <v>233.64</v>
      </c>
      <c r="K435" s="1" t="n">
        <f aca="false">IFERROR(F435/D435,"")</f>
        <v>0.346400182160901</v>
      </c>
    </row>
    <row r="436" customFormat="false" ht="12.8" hidden="false" customHeight="false" outlineLevel="0" collapsed="false">
      <c r="A436" s="1" t="n">
        <v>435</v>
      </c>
      <c r="B436" s="1" t="n">
        <v>6949</v>
      </c>
      <c r="C436" s="1" t="n">
        <v>202</v>
      </c>
      <c r="D436" s="1" t="n">
        <v>303.62</v>
      </c>
      <c r="E436" s="1" t="n">
        <v>0</v>
      </c>
      <c r="F436" s="1" t="n">
        <v>0</v>
      </c>
      <c r="G436" s="1" t="n">
        <v>2.91</v>
      </c>
      <c r="H436" s="1" t="n">
        <v>1.5</v>
      </c>
      <c r="I436" s="1" t="n">
        <v>43.69</v>
      </c>
      <c r="K436" s="1" t="n">
        <f aca="false">IFERROR(F436/D436,"")</f>
        <v>0</v>
      </c>
    </row>
    <row r="437" customFormat="false" ht="12.8" hidden="false" customHeight="false" outlineLevel="0" collapsed="false">
      <c r="A437" s="1" t="n">
        <v>436</v>
      </c>
      <c r="B437" s="1" t="n">
        <v>80976</v>
      </c>
      <c r="C437" s="1" t="n">
        <v>400</v>
      </c>
      <c r="D437" s="1" t="n">
        <v>549.81</v>
      </c>
      <c r="E437" s="1" t="n">
        <v>4</v>
      </c>
      <c r="F437" s="1" t="n">
        <v>212.59</v>
      </c>
      <c r="G437" s="1" t="n">
        <v>0.49</v>
      </c>
      <c r="H437" s="1" t="n">
        <v>1.37</v>
      </c>
      <c r="I437" s="1" t="n">
        <v>6.79</v>
      </c>
      <c r="J437" s="1" t="n">
        <v>137.45</v>
      </c>
      <c r="K437" s="1" t="n">
        <f aca="false">IFERROR(F437/D437,"")</f>
        <v>0.386660846474237</v>
      </c>
    </row>
    <row r="438" customFormat="false" ht="12.8" hidden="false" customHeight="false" outlineLevel="0" collapsed="false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K438" s="1" t="str">
        <f aca="false">IFERROR(F438/D438,"")</f>
        <v/>
      </c>
    </row>
    <row r="439" customFormat="false" ht="12.8" hidden="false" customHeight="false" outlineLevel="0" collapsed="false">
      <c r="A439" s="1" t="n">
        <v>438</v>
      </c>
      <c r="B439" s="1" t="n">
        <v>107464</v>
      </c>
      <c r="C439" s="1" t="n">
        <v>1528</v>
      </c>
      <c r="D439" s="1" t="n">
        <v>2110.38</v>
      </c>
      <c r="E439" s="1" t="n">
        <v>15</v>
      </c>
      <c r="F439" s="1" t="n">
        <v>943.66</v>
      </c>
      <c r="G439" s="1" t="n">
        <v>1.42</v>
      </c>
      <c r="H439" s="1" t="n">
        <v>1.38</v>
      </c>
      <c r="I439" s="1" t="n">
        <v>19.64</v>
      </c>
      <c r="J439" s="1" t="n">
        <v>140.69</v>
      </c>
      <c r="K439" s="1" t="n">
        <f aca="false">IFERROR(F439/D439,"")</f>
        <v>0.447151697798501</v>
      </c>
    </row>
    <row r="440" customFormat="false" ht="12.8" hidden="false" customHeight="false" outlineLevel="0" collapsed="false">
      <c r="A440" s="1" t="n">
        <v>439</v>
      </c>
      <c r="B440" s="1" t="n">
        <v>134062</v>
      </c>
      <c r="C440" s="1" t="n">
        <v>1288</v>
      </c>
      <c r="D440" s="1" t="n">
        <v>1871.97</v>
      </c>
      <c r="E440" s="1" t="n">
        <v>6</v>
      </c>
      <c r="F440" s="1" t="n">
        <v>375.98</v>
      </c>
      <c r="G440" s="1" t="n">
        <v>0.96</v>
      </c>
      <c r="H440" s="1" t="n">
        <v>1.45</v>
      </c>
      <c r="I440" s="1" t="n">
        <v>13.96</v>
      </c>
      <c r="J440" s="1" t="n">
        <v>312</v>
      </c>
      <c r="K440" s="1" t="n">
        <f aca="false">IFERROR(F440/D440,"")</f>
        <v>0.200847235799719</v>
      </c>
    </row>
    <row r="441" customFormat="false" ht="12.8" hidden="false" customHeight="false" outlineLevel="0" collapsed="false">
      <c r="A441" s="1" t="n">
        <v>440</v>
      </c>
      <c r="B441" s="1" t="n">
        <v>54139</v>
      </c>
      <c r="C441" s="1" t="n">
        <v>471</v>
      </c>
      <c r="D441" s="1" t="n">
        <v>515.64</v>
      </c>
      <c r="E441" s="1" t="n">
        <v>9</v>
      </c>
      <c r="F441" s="1" t="n">
        <v>453.84</v>
      </c>
      <c r="G441" s="1" t="n">
        <v>0.87</v>
      </c>
      <c r="H441" s="1" t="n">
        <v>1.09</v>
      </c>
      <c r="I441" s="1" t="n">
        <v>9.52</v>
      </c>
      <c r="J441" s="1" t="n">
        <v>57.29</v>
      </c>
      <c r="K441" s="1" t="n">
        <f aca="false">IFERROR(F441/D441,"")</f>
        <v>0.880148941121713</v>
      </c>
    </row>
    <row r="442" customFormat="false" ht="12.8" hidden="false" customHeight="false" outlineLevel="0" collapsed="false">
      <c r="A442" s="1" t="n">
        <v>441</v>
      </c>
      <c r="B442" s="1" t="n">
        <v>6370</v>
      </c>
      <c r="C442" s="1" t="n">
        <v>124</v>
      </c>
      <c r="D442" s="1" t="n">
        <v>174.86</v>
      </c>
      <c r="E442" s="1" t="n">
        <v>0</v>
      </c>
      <c r="F442" s="1" t="n">
        <v>0</v>
      </c>
      <c r="G442" s="1" t="n">
        <v>1.95</v>
      </c>
      <c r="H442" s="1" t="n">
        <v>1.41</v>
      </c>
      <c r="I442" s="1" t="n">
        <v>27.45</v>
      </c>
      <c r="K442" s="1" t="n">
        <f aca="false">IFERROR(F442/D442,"")</f>
        <v>0</v>
      </c>
    </row>
    <row r="443" customFormat="false" ht="12.8" hidden="false" customHeight="false" outlineLevel="0" collapsed="false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K443" s="1" t="str">
        <f aca="false">IFERROR(F443/D443,"")</f>
        <v/>
      </c>
    </row>
    <row r="444" customFormat="false" ht="12.8" hidden="false" customHeight="false" outlineLevel="0" collapsed="false">
      <c r="A444" s="1" t="n">
        <v>443</v>
      </c>
      <c r="B444" s="1" t="n">
        <v>26784</v>
      </c>
      <c r="C444" s="1" t="n">
        <v>149</v>
      </c>
      <c r="D444" s="1" t="n">
        <v>0</v>
      </c>
      <c r="E444" s="1" t="n">
        <v>1</v>
      </c>
      <c r="F444" s="1" t="n">
        <v>76.26</v>
      </c>
      <c r="G444" s="1" t="n">
        <v>0.56</v>
      </c>
      <c r="H444" s="1" t="n">
        <v>0</v>
      </c>
      <c r="I444" s="1" t="n">
        <v>0</v>
      </c>
      <c r="J444" s="1" t="n">
        <v>0</v>
      </c>
      <c r="K444" s="1" t="str">
        <f aca="false">IFERROR(F444/D444,"")</f>
        <v/>
      </c>
    </row>
    <row r="445" customFormat="false" ht="12.8" hidden="false" customHeight="false" outlineLevel="0" collapsed="false">
      <c r="A445" s="1" t="n">
        <v>444</v>
      </c>
      <c r="B445" s="1" t="n">
        <v>12829</v>
      </c>
      <c r="C445" s="1" t="n">
        <v>521</v>
      </c>
      <c r="D445" s="1" t="n">
        <v>0</v>
      </c>
      <c r="E445" s="1" t="n">
        <v>0</v>
      </c>
      <c r="F445" s="1" t="n">
        <v>0</v>
      </c>
      <c r="G445" s="1" t="n">
        <v>4.06</v>
      </c>
      <c r="H445" s="1" t="n">
        <v>0</v>
      </c>
      <c r="I445" s="1" t="n">
        <v>0</v>
      </c>
      <c r="K445" s="1" t="str">
        <f aca="false">IFERROR(F445/D445,"")</f>
        <v/>
      </c>
    </row>
    <row r="446" customFormat="false" ht="12.8" hidden="false" customHeight="false" outlineLevel="0" collapsed="false">
      <c r="A446" s="1" t="n">
        <v>445</v>
      </c>
      <c r="B446" s="1" t="n">
        <v>10411</v>
      </c>
      <c r="C446" s="1" t="n">
        <v>411</v>
      </c>
      <c r="D446" s="1" t="n">
        <v>0</v>
      </c>
      <c r="E446" s="1" t="n">
        <v>0</v>
      </c>
      <c r="F446" s="1" t="n">
        <v>0</v>
      </c>
      <c r="G446" s="1" t="n">
        <v>3.95</v>
      </c>
      <c r="H446" s="1" t="n">
        <v>0</v>
      </c>
      <c r="I446" s="1" t="n">
        <v>0</v>
      </c>
      <c r="K446" s="1" t="str">
        <f aca="false">IFERROR(F446/D446,"")</f>
        <v/>
      </c>
    </row>
    <row r="447" customFormat="false" ht="12.8" hidden="false" customHeight="false" outlineLevel="0" collapsed="false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K447" s="1" t="str">
        <f aca="false">IFERROR(F447/D447,"")</f>
        <v/>
      </c>
    </row>
    <row r="448" customFormat="false" ht="12.8" hidden="false" customHeight="false" outlineLevel="0" collapsed="false">
      <c r="A448" s="1" t="n">
        <v>447</v>
      </c>
      <c r="B448" s="1" t="n">
        <v>49413</v>
      </c>
      <c r="C448" s="1" t="n">
        <v>611</v>
      </c>
      <c r="D448" s="1" t="n">
        <v>948.64</v>
      </c>
      <c r="E448" s="1" t="n">
        <v>4</v>
      </c>
      <c r="F448" s="1" t="n">
        <v>345.4</v>
      </c>
      <c r="G448" s="1" t="n">
        <v>1.24</v>
      </c>
      <c r="H448" s="1" t="n">
        <v>1.55</v>
      </c>
      <c r="I448" s="1" t="n">
        <v>19.2</v>
      </c>
      <c r="J448" s="1" t="n">
        <v>237.16</v>
      </c>
      <c r="K448" s="1" t="n">
        <f aca="false">IFERROR(F448/D448,"")</f>
        <v>0.364100185528757</v>
      </c>
    </row>
    <row r="449" customFormat="false" ht="12.8" hidden="false" customHeight="false" outlineLevel="0" collapsed="false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K449" s="1" t="str">
        <f aca="false">IFERROR(F449/D449,"")</f>
        <v/>
      </c>
    </row>
    <row r="450" customFormat="false" ht="12.8" hidden="false" customHeight="false" outlineLevel="0" collapsed="false">
      <c r="A450" s="1" t="n">
        <v>449</v>
      </c>
      <c r="B450" s="1" t="n">
        <v>8568</v>
      </c>
      <c r="C450" s="1" t="n">
        <v>181</v>
      </c>
      <c r="D450" s="1" t="n">
        <v>0</v>
      </c>
      <c r="E450" s="1" t="n">
        <v>1</v>
      </c>
      <c r="F450" s="1" t="n">
        <v>24.63</v>
      </c>
      <c r="G450" s="1" t="n">
        <v>2.11</v>
      </c>
      <c r="H450" s="1" t="n">
        <v>0</v>
      </c>
      <c r="I450" s="1" t="n">
        <v>0</v>
      </c>
      <c r="J450" s="1" t="n">
        <v>0</v>
      </c>
      <c r="K450" s="1" t="str">
        <f aca="false">IFERROR(F450/D450,"")</f>
        <v/>
      </c>
    </row>
    <row r="451" customFormat="false" ht="12.8" hidden="false" customHeight="false" outlineLevel="0" collapsed="false">
      <c r="A451" s="1" t="n">
        <v>450</v>
      </c>
      <c r="B451" s="1" t="n">
        <v>16631</v>
      </c>
      <c r="C451" s="1" t="n">
        <v>191</v>
      </c>
      <c r="D451" s="1" t="n">
        <v>218.27</v>
      </c>
      <c r="E451" s="1" t="n">
        <v>2</v>
      </c>
      <c r="F451" s="1" t="n">
        <v>138.8</v>
      </c>
      <c r="G451" s="1" t="n">
        <v>1.15</v>
      </c>
      <c r="H451" s="1" t="n">
        <v>1.14</v>
      </c>
      <c r="I451" s="1" t="n">
        <v>13.12</v>
      </c>
      <c r="J451" s="1" t="n">
        <v>109.14</v>
      </c>
      <c r="K451" s="1" t="n">
        <f aca="false">IFERROR(F451/D451,"")</f>
        <v>0.635909653181839</v>
      </c>
    </row>
    <row r="452" customFormat="false" ht="12.8" hidden="false" customHeight="false" outlineLevel="0" collapsed="false">
      <c r="A452" s="1" t="n">
        <v>451</v>
      </c>
      <c r="B452" s="1" t="n">
        <v>424548</v>
      </c>
      <c r="C452" s="1" t="n">
        <v>2059</v>
      </c>
      <c r="D452" s="1" t="n">
        <v>3065.84</v>
      </c>
      <c r="E452" s="1" t="n">
        <v>20</v>
      </c>
      <c r="F452" s="1" t="n">
        <v>1116.08</v>
      </c>
      <c r="G452" s="1" t="n">
        <v>0.48</v>
      </c>
      <c r="H452" s="1" t="n">
        <v>1.49</v>
      </c>
      <c r="I452" s="1" t="n">
        <v>7.22</v>
      </c>
      <c r="J452" s="1" t="n">
        <v>153.29</v>
      </c>
      <c r="K452" s="1" t="n">
        <f aca="false">IFERROR(F452/D452,"")</f>
        <v>0.364037262218511</v>
      </c>
    </row>
    <row r="453" customFormat="false" ht="12.8" hidden="false" customHeight="false" outlineLevel="0" collapsed="false">
      <c r="A453" s="1" t="n">
        <v>452</v>
      </c>
      <c r="B453" s="1" t="n">
        <v>95037</v>
      </c>
      <c r="C453" s="1" t="n">
        <v>1044</v>
      </c>
      <c r="D453" s="1" t="n">
        <v>1347.04</v>
      </c>
      <c r="E453" s="1" t="n">
        <v>12</v>
      </c>
      <c r="F453" s="1" t="n">
        <v>695.51</v>
      </c>
      <c r="G453" s="1" t="n">
        <v>1.1</v>
      </c>
      <c r="H453" s="1" t="n">
        <v>1.29</v>
      </c>
      <c r="I453" s="1" t="n">
        <v>14.17</v>
      </c>
      <c r="J453" s="1" t="n">
        <v>112.25</v>
      </c>
      <c r="K453" s="1" t="n">
        <f aca="false">IFERROR(F453/D453,"")</f>
        <v>0.516324682266303</v>
      </c>
    </row>
    <row r="454" customFormat="false" ht="12.8" hidden="false" customHeight="false" outlineLevel="0" collapsed="false">
      <c r="A454" s="1" t="n">
        <v>453</v>
      </c>
      <c r="B454" s="1" t="n">
        <v>77467</v>
      </c>
      <c r="C454" s="1" t="n">
        <v>1797</v>
      </c>
      <c r="D454" s="1" t="n">
        <v>2651.02</v>
      </c>
      <c r="E454" s="1" t="n">
        <v>0</v>
      </c>
      <c r="F454" s="1" t="n">
        <v>0</v>
      </c>
      <c r="G454" s="1" t="n">
        <v>2.32</v>
      </c>
      <c r="H454" s="1" t="n">
        <v>1.48</v>
      </c>
      <c r="I454" s="1" t="n">
        <v>34.22</v>
      </c>
      <c r="K454" s="1" t="n">
        <f aca="false">IFERROR(F454/D454,"")</f>
        <v>0</v>
      </c>
    </row>
    <row r="455" customFormat="false" ht="12.8" hidden="false" customHeight="false" outlineLevel="0" collapsed="false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K455" s="1" t="str">
        <f aca="false">IFERROR(F455/D455,"")</f>
        <v/>
      </c>
    </row>
    <row r="456" customFormat="false" ht="12.8" hidden="false" customHeight="false" outlineLevel="0" collapsed="false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K456" s="1" t="str">
        <f aca="false">IFERROR(F456/D456,"")</f>
        <v/>
      </c>
    </row>
    <row r="457" customFormat="false" ht="12.8" hidden="false" customHeight="false" outlineLevel="0" collapsed="false">
      <c r="A457" s="1" t="n">
        <v>456</v>
      </c>
      <c r="B457" s="1" t="n">
        <v>500795</v>
      </c>
      <c r="C457" s="1" t="n">
        <v>3025</v>
      </c>
      <c r="D457" s="1" t="n">
        <v>4127.61</v>
      </c>
      <c r="E457" s="1" t="n">
        <v>31</v>
      </c>
      <c r="F457" s="1" t="n">
        <v>2084.51</v>
      </c>
      <c r="G457" s="1" t="n">
        <v>0.6</v>
      </c>
      <c r="H457" s="1" t="n">
        <v>1.36</v>
      </c>
      <c r="I457" s="1" t="n">
        <v>8.24</v>
      </c>
      <c r="J457" s="1" t="n">
        <v>133.15</v>
      </c>
      <c r="K457" s="1" t="n">
        <f aca="false">IFERROR(F457/D457,"")</f>
        <v>0.505016220040169</v>
      </c>
    </row>
    <row r="458" customFormat="false" ht="12.8" hidden="false" customHeight="false" outlineLevel="0" collapsed="false">
      <c r="A458" s="1" t="n">
        <v>457</v>
      </c>
      <c r="B458" s="1" t="n">
        <v>656801</v>
      </c>
      <c r="C458" s="1" t="n">
        <v>6186</v>
      </c>
      <c r="D458" s="1" t="n">
        <v>8798.93</v>
      </c>
      <c r="E458" s="1" t="n">
        <v>43</v>
      </c>
      <c r="F458" s="1" t="n">
        <v>3279.27</v>
      </c>
      <c r="G458" s="1" t="n">
        <v>0.94</v>
      </c>
      <c r="H458" s="1" t="n">
        <v>1.42</v>
      </c>
      <c r="I458" s="1" t="n">
        <v>13.4</v>
      </c>
      <c r="J458" s="1" t="n">
        <v>204.63</v>
      </c>
      <c r="K458" s="1" t="n">
        <f aca="false">IFERROR(F458/D458,"")</f>
        <v>0.372689633853207</v>
      </c>
    </row>
    <row r="459" customFormat="false" ht="12.8" hidden="false" customHeight="false" outlineLevel="0" collapsed="false">
      <c r="A459" s="1" t="n">
        <v>458</v>
      </c>
      <c r="B459" s="1" t="n">
        <v>423951</v>
      </c>
      <c r="C459" s="1" t="n">
        <v>2546</v>
      </c>
      <c r="D459" s="1" t="n">
        <v>3812.42</v>
      </c>
      <c r="E459" s="1" t="n">
        <v>32</v>
      </c>
      <c r="F459" s="1" t="n">
        <v>2740.12</v>
      </c>
      <c r="G459" s="1" t="n">
        <v>0.6</v>
      </c>
      <c r="H459" s="1" t="n">
        <v>1.5</v>
      </c>
      <c r="I459" s="1" t="n">
        <v>8.99</v>
      </c>
      <c r="J459" s="1" t="n">
        <v>119.14</v>
      </c>
      <c r="K459" s="1" t="n">
        <f aca="false">IFERROR(F459/D459,"")</f>
        <v>0.718735081654172</v>
      </c>
    </row>
    <row r="460" customFormat="false" ht="12.8" hidden="false" customHeight="false" outlineLevel="0" collapsed="false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K460" s="1" t="str">
        <f aca="false">IFERROR(F460/D460,"")</f>
        <v/>
      </c>
    </row>
    <row r="461" customFormat="false" ht="12.8" hidden="false" customHeight="false" outlineLevel="0" collapsed="false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K461" s="1" t="str">
        <f aca="false">IFERROR(F461/D461,"")</f>
        <v/>
      </c>
    </row>
    <row r="462" customFormat="false" ht="12.8" hidden="false" customHeight="false" outlineLevel="0" collapsed="false">
      <c r="A462" s="1" t="n">
        <v>461</v>
      </c>
      <c r="B462" s="1" t="n">
        <v>33433</v>
      </c>
      <c r="C462" s="1" t="n">
        <v>552</v>
      </c>
      <c r="D462" s="1" t="n">
        <v>694.63</v>
      </c>
      <c r="E462" s="1" t="n">
        <v>2</v>
      </c>
      <c r="F462" s="1" t="n">
        <v>91.34</v>
      </c>
      <c r="G462" s="1" t="n">
        <v>1.65</v>
      </c>
      <c r="H462" s="1" t="n">
        <v>1.26</v>
      </c>
      <c r="I462" s="1" t="n">
        <v>20.78</v>
      </c>
      <c r="J462" s="1" t="n">
        <v>347.32</v>
      </c>
      <c r="K462" s="1" t="n">
        <f aca="false">IFERROR(F462/D462,"")</f>
        <v>0.131494464679038</v>
      </c>
    </row>
    <row r="463" customFormat="false" ht="12.8" hidden="false" customHeight="false" outlineLevel="0" collapsed="false">
      <c r="A463" s="1" t="n">
        <v>462</v>
      </c>
      <c r="B463" s="1" t="n">
        <v>77536</v>
      </c>
      <c r="C463" s="1" t="n">
        <v>1518</v>
      </c>
      <c r="D463" s="1" t="n">
        <v>2218.82</v>
      </c>
      <c r="E463" s="1" t="n">
        <v>0</v>
      </c>
      <c r="F463" s="1" t="n">
        <v>0</v>
      </c>
      <c r="G463" s="1" t="n">
        <v>1.96</v>
      </c>
      <c r="H463" s="1" t="n">
        <v>1.46</v>
      </c>
      <c r="I463" s="1" t="n">
        <v>28.62</v>
      </c>
      <c r="K463" s="1" t="n">
        <f aca="false">IFERROR(F463/D463,"")</f>
        <v>0</v>
      </c>
    </row>
    <row r="464" customFormat="false" ht="12.8" hidden="false" customHeight="false" outlineLevel="0" collapsed="false">
      <c r="A464" s="1" t="n">
        <v>463</v>
      </c>
      <c r="B464" s="1" t="n">
        <v>795424</v>
      </c>
      <c r="C464" s="1" t="n">
        <v>2660</v>
      </c>
      <c r="D464" s="1" t="n">
        <v>3329.7</v>
      </c>
      <c r="E464" s="1" t="n">
        <v>37</v>
      </c>
      <c r="F464" s="1" t="n">
        <v>2652.15</v>
      </c>
      <c r="G464" s="1" t="n">
        <v>0.33</v>
      </c>
      <c r="H464" s="1" t="n">
        <v>1.25</v>
      </c>
      <c r="I464" s="1" t="n">
        <v>4.19</v>
      </c>
      <c r="J464" s="1" t="n">
        <v>89.99</v>
      </c>
      <c r="K464" s="1" t="n">
        <f aca="false">IFERROR(F464/D464,"")</f>
        <v>0.796513199387332</v>
      </c>
    </row>
    <row r="465" customFormat="false" ht="12.8" hidden="false" customHeight="false" outlineLevel="0" collapsed="false">
      <c r="A465" s="1" t="n">
        <v>464</v>
      </c>
      <c r="B465" s="1" t="n">
        <v>112860</v>
      </c>
      <c r="C465" s="1" t="n">
        <v>970</v>
      </c>
      <c r="D465" s="1" t="n">
        <v>1432.19</v>
      </c>
      <c r="E465" s="1" t="n">
        <v>6</v>
      </c>
      <c r="F465" s="1" t="n">
        <v>502.75</v>
      </c>
      <c r="G465" s="1" t="n">
        <v>0.86</v>
      </c>
      <c r="H465" s="1" t="n">
        <v>1.48</v>
      </c>
      <c r="I465" s="1" t="n">
        <v>12.69</v>
      </c>
      <c r="J465" s="1" t="n">
        <v>238.7</v>
      </c>
      <c r="K465" s="1" t="n">
        <f aca="false">IFERROR(F465/D465,"")</f>
        <v>0.351035826252103</v>
      </c>
    </row>
    <row r="466" customFormat="false" ht="12.8" hidden="false" customHeight="false" outlineLevel="0" collapsed="false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K466" s="1" t="str">
        <f aca="false">IFERROR(F466/D466,"")</f>
        <v/>
      </c>
    </row>
    <row r="467" customFormat="false" ht="12.8" hidden="false" customHeight="false" outlineLevel="0" collapsed="false">
      <c r="A467" s="1" t="n">
        <v>466</v>
      </c>
      <c r="B467" s="1" t="n">
        <v>976858</v>
      </c>
      <c r="C467" s="1" t="n">
        <v>3904</v>
      </c>
      <c r="D467" s="1" t="n">
        <v>0</v>
      </c>
      <c r="E467" s="1" t="n">
        <v>42</v>
      </c>
      <c r="F467" s="1" t="n">
        <v>2812.11</v>
      </c>
      <c r="G467" s="1" t="n">
        <v>0.4</v>
      </c>
      <c r="H467" s="1" t="n">
        <v>0</v>
      </c>
      <c r="I467" s="1" t="n">
        <v>0</v>
      </c>
      <c r="J467" s="1" t="n">
        <v>0</v>
      </c>
      <c r="K467" s="1" t="str">
        <f aca="false">IFERROR(F467/D467,"")</f>
        <v/>
      </c>
    </row>
    <row r="468" customFormat="false" ht="12.8" hidden="false" customHeight="false" outlineLevel="0" collapsed="false">
      <c r="A468" s="1" t="n">
        <v>467</v>
      </c>
      <c r="B468" s="1" t="n">
        <v>751842</v>
      </c>
      <c r="C468" s="1" t="n">
        <v>2298</v>
      </c>
      <c r="D468" s="1" t="n">
        <v>3605.54</v>
      </c>
      <c r="E468" s="1" t="n">
        <v>23</v>
      </c>
      <c r="F468" s="1" t="n">
        <v>1332.25</v>
      </c>
      <c r="G468" s="1" t="n">
        <v>0.31</v>
      </c>
      <c r="H468" s="1" t="n">
        <v>1.57</v>
      </c>
      <c r="I468" s="1" t="n">
        <v>4.8</v>
      </c>
      <c r="J468" s="1" t="n">
        <v>156.76</v>
      </c>
      <c r="K468" s="1" t="n">
        <f aca="false">IFERROR(F468/D468,"")</f>
        <v>0.369500823732367</v>
      </c>
    </row>
    <row r="469" customFormat="false" ht="12.8" hidden="false" customHeight="false" outlineLevel="0" collapsed="false">
      <c r="A469" s="1" t="n">
        <v>468</v>
      </c>
      <c r="B469" s="1" t="n">
        <v>369611</v>
      </c>
      <c r="C469" s="1" t="n">
        <v>3610</v>
      </c>
      <c r="D469" s="1" t="n">
        <v>5233.46</v>
      </c>
      <c r="E469" s="1" t="n">
        <v>29</v>
      </c>
      <c r="F469" s="1" t="n">
        <v>2109.4</v>
      </c>
      <c r="G469" s="1" t="n">
        <v>0.98</v>
      </c>
      <c r="H469" s="1" t="n">
        <v>1.45</v>
      </c>
      <c r="I469" s="1" t="n">
        <v>14.16</v>
      </c>
      <c r="J469" s="1" t="n">
        <v>180.46</v>
      </c>
      <c r="K469" s="1" t="n">
        <f aca="false">IFERROR(F469/D469,"")</f>
        <v>0.403060308094454</v>
      </c>
    </row>
    <row r="470" customFormat="false" ht="12.8" hidden="false" customHeight="false" outlineLevel="0" collapsed="false">
      <c r="A470" s="1" t="n">
        <v>469</v>
      </c>
      <c r="B470" s="1" t="n">
        <v>62019</v>
      </c>
      <c r="C470" s="1" t="n">
        <v>689</v>
      </c>
      <c r="D470" s="1" t="n">
        <v>1039.68</v>
      </c>
      <c r="E470" s="1" t="n">
        <v>4</v>
      </c>
      <c r="F470" s="1" t="n">
        <v>253.38</v>
      </c>
      <c r="G470" s="1" t="n">
        <v>1.11</v>
      </c>
      <c r="H470" s="1" t="n">
        <v>1.51</v>
      </c>
      <c r="I470" s="1" t="n">
        <v>16.76</v>
      </c>
      <c r="J470" s="1" t="n">
        <v>259.92</v>
      </c>
      <c r="K470" s="1" t="n">
        <f aca="false">IFERROR(F470/D470,"")</f>
        <v>0.243709602954755</v>
      </c>
    </row>
    <row r="471" customFormat="false" ht="12.8" hidden="false" customHeight="false" outlineLevel="0" collapsed="false">
      <c r="A471" s="1" t="n">
        <v>470</v>
      </c>
      <c r="B471" s="1" t="n">
        <v>46649</v>
      </c>
      <c r="C471" s="1" t="n">
        <v>638</v>
      </c>
      <c r="D471" s="1" t="n">
        <v>1048.79</v>
      </c>
      <c r="E471" s="1" t="n">
        <v>5</v>
      </c>
      <c r="F471" s="1" t="n">
        <v>288.71</v>
      </c>
      <c r="G471" s="1" t="n">
        <v>1.37</v>
      </c>
      <c r="H471" s="1" t="n">
        <v>1.64</v>
      </c>
      <c r="I471" s="1" t="n">
        <v>22.48</v>
      </c>
      <c r="J471" s="1" t="n">
        <v>209.76</v>
      </c>
      <c r="K471" s="1" t="n">
        <f aca="false">IFERROR(F471/D471,"")</f>
        <v>0.275279131189275</v>
      </c>
    </row>
    <row r="472" customFormat="false" ht="12.8" hidden="false" customHeight="false" outlineLevel="0" collapsed="false">
      <c r="A472" s="1" t="n">
        <v>471</v>
      </c>
      <c r="B472" s="1" t="n">
        <v>70815</v>
      </c>
      <c r="C472" s="1" t="n">
        <v>338</v>
      </c>
      <c r="D472" s="1" t="n">
        <v>581.15</v>
      </c>
      <c r="E472" s="1" t="n">
        <v>2</v>
      </c>
      <c r="F472" s="1" t="n">
        <v>59.71</v>
      </c>
      <c r="G472" s="1" t="n">
        <v>0.48</v>
      </c>
      <c r="H472" s="1" t="n">
        <v>1.72</v>
      </c>
      <c r="I472" s="1" t="n">
        <v>8.21</v>
      </c>
      <c r="J472" s="1" t="n">
        <v>290.58</v>
      </c>
      <c r="K472" s="1" t="n">
        <f aca="false">IFERROR(F472/D472,"")</f>
        <v>0.102744558203562</v>
      </c>
    </row>
    <row r="473" customFormat="false" ht="12.8" hidden="false" customHeight="false" outlineLevel="0" collapsed="false">
      <c r="A473" s="1" t="n">
        <v>472</v>
      </c>
      <c r="B473" s="1" t="n">
        <v>1030403</v>
      </c>
      <c r="C473" s="1" t="n">
        <v>5870</v>
      </c>
      <c r="D473" s="1" t="n">
        <v>8284.78</v>
      </c>
      <c r="E473" s="1" t="n">
        <v>68</v>
      </c>
      <c r="F473" s="1" t="n">
        <v>4791.56</v>
      </c>
      <c r="G473" s="1" t="n">
        <v>0.57</v>
      </c>
      <c r="H473" s="1" t="n">
        <v>1.41</v>
      </c>
      <c r="I473" s="1" t="n">
        <v>8.04</v>
      </c>
      <c r="J473" s="1" t="n">
        <v>121.84</v>
      </c>
      <c r="K473" s="1" t="n">
        <f aca="false">IFERROR(F473/D473,"")</f>
        <v>0.578356938868624</v>
      </c>
    </row>
    <row r="474" customFormat="false" ht="12.8" hidden="false" customHeight="false" outlineLevel="0" collapsed="false">
      <c r="A474" s="1" t="n">
        <v>473</v>
      </c>
      <c r="B474" s="1" t="n">
        <v>33532</v>
      </c>
      <c r="C474" s="1" t="n">
        <v>490</v>
      </c>
      <c r="D474" s="1" t="n">
        <v>722.56</v>
      </c>
      <c r="E474" s="1" t="n">
        <v>0</v>
      </c>
      <c r="F474" s="1" t="n">
        <v>0</v>
      </c>
      <c r="G474" s="1" t="n">
        <v>1.46</v>
      </c>
      <c r="H474" s="1" t="n">
        <v>1.47</v>
      </c>
      <c r="I474" s="1" t="n">
        <v>21.55</v>
      </c>
      <c r="K474" s="1" t="n">
        <f aca="false">IFERROR(F474/D474,"")</f>
        <v>0</v>
      </c>
    </row>
    <row r="475" customFormat="false" ht="12.8" hidden="false" customHeight="false" outlineLevel="0" collapsed="false">
      <c r="A475" s="1" t="n">
        <v>474</v>
      </c>
      <c r="B475" s="1" t="n">
        <v>127775</v>
      </c>
      <c r="C475" s="1" t="n">
        <v>1381</v>
      </c>
      <c r="D475" s="1" t="n">
        <v>0</v>
      </c>
      <c r="E475" s="1" t="n">
        <v>15</v>
      </c>
      <c r="F475" s="1" t="n">
        <v>645.62</v>
      </c>
      <c r="G475" s="1" t="n">
        <v>1.08</v>
      </c>
      <c r="H475" s="1" t="n">
        <v>0</v>
      </c>
      <c r="I475" s="1" t="n">
        <v>0</v>
      </c>
      <c r="J475" s="1" t="n">
        <v>0</v>
      </c>
      <c r="K475" s="1" t="str">
        <f aca="false">IFERROR(F475/D475,"")</f>
        <v/>
      </c>
    </row>
    <row r="476" customFormat="false" ht="12.8" hidden="false" customHeight="false" outlineLevel="0" collapsed="false">
      <c r="A476" s="1" t="n">
        <v>475</v>
      </c>
      <c r="B476" s="1" t="n">
        <v>627171</v>
      </c>
      <c r="C476" s="1" t="n">
        <v>2227</v>
      </c>
      <c r="D476" s="1" t="n">
        <v>3391.85</v>
      </c>
      <c r="E476" s="1" t="n">
        <v>49</v>
      </c>
      <c r="F476" s="1" t="n">
        <v>3612.04</v>
      </c>
      <c r="G476" s="1" t="n">
        <v>0.36</v>
      </c>
      <c r="H476" s="1" t="n">
        <v>1.52</v>
      </c>
      <c r="I476" s="1" t="n">
        <v>5.41</v>
      </c>
      <c r="J476" s="1" t="n">
        <v>69.22</v>
      </c>
      <c r="K476" s="1" t="n">
        <f aca="false">IFERROR(F476/D476,"")</f>
        <v>1.06491737547356</v>
      </c>
    </row>
    <row r="477" customFormat="false" ht="12.8" hidden="false" customHeight="false" outlineLevel="0" collapsed="false">
      <c r="A477" s="1" t="n">
        <v>476</v>
      </c>
      <c r="B477" s="1" t="n">
        <v>464913</v>
      </c>
      <c r="C477" s="1" t="n">
        <v>2091</v>
      </c>
      <c r="D477" s="1" t="n">
        <v>2921.45</v>
      </c>
      <c r="E477" s="1" t="n">
        <v>30</v>
      </c>
      <c r="F477" s="1" t="n">
        <v>2245.7</v>
      </c>
      <c r="G477" s="1" t="n">
        <v>0.45</v>
      </c>
      <c r="H477" s="1" t="n">
        <v>1.4</v>
      </c>
      <c r="I477" s="1" t="n">
        <v>6.28</v>
      </c>
      <c r="J477" s="1" t="n">
        <v>97.38</v>
      </c>
      <c r="K477" s="1" t="n">
        <f aca="false">IFERROR(F477/D477,"")</f>
        <v>0.768693628164097</v>
      </c>
    </row>
    <row r="478" customFormat="false" ht="12.8" hidden="false" customHeight="false" outlineLevel="0" collapsed="false">
      <c r="A478" s="1" t="n">
        <v>477</v>
      </c>
      <c r="B478" s="1" t="n">
        <v>177661</v>
      </c>
      <c r="C478" s="1" t="n">
        <v>1351</v>
      </c>
      <c r="D478" s="1" t="n">
        <v>0</v>
      </c>
      <c r="E478" s="1" t="n">
        <v>18</v>
      </c>
      <c r="F478" s="1" t="n">
        <v>1208.65</v>
      </c>
      <c r="G478" s="1" t="n">
        <v>0.76</v>
      </c>
      <c r="H478" s="1" t="n">
        <v>0</v>
      </c>
      <c r="I478" s="1" t="n">
        <v>0</v>
      </c>
      <c r="J478" s="1" t="n">
        <v>0</v>
      </c>
      <c r="K478" s="1" t="str">
        <f aca="false">IFERROR(F478/D478,"")</f>
        <v/>
      </c>
    </row>
    <row r="479" customFormat="false" ht="12.8" hidden="false" customHeight="false" outlineLevel="0" collapsed="false">
      <c r="A479" s="1" t="n">
        <v>478</v>
      </c>
      <c r="B479" s="1" t="n">
        <v>110740</v>
      </c>
      <c r="C479" s="1" t="n">
        <v>1306</v>
      </c>
      <c r="D479" s="1" t="n">
        <v>1896.85</v>
      </c>
      <c r="E479" s="1" t="n">
        <v>4</v>
      </c>
      <c r="F479" s="1" t="n">
        <v>352.42</v>
      </c>
      <c r="G479" s="1" t="n">
        <v>1.18</v>
      </c>
      <c r="H479" s="1" t="n">
        <v>1.45</v>
      </c>
      <c r="I479" s="1" t="n">
        <v>17.13</v>
      </c>
      <c r="J479" s="1" t="n">
        <v>474.21</v>
      </c>
      <c r="K479" s="1" t="n">
        <f aca="false">IFERROR(F479/D479,"")</f>
        <v>0.18579223449403</v>
      </c>
    </row>
    <row r="480" customFormat="false" ht="12.8" hidden="false" customHeight="false" outlineLevel="0" collapsed="false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K480" s="1" t="str">
        <f aca="false">IFERROR(F480/D480,"")</f>
        <v/>
      </c>
    </row>
    <row r="481" customFormat="false" ht="12.8" hidden="false" customHeight="false" outlineLevel="0" collapsed="false">
      <c r="A481" s="1" t="n">
        <v>480</v>
      </c>
      <c r="B481" s="1" t="n">
        <v>199128</v>
      </c>
      <c r="C481" s="1" t="n">
        <v>1229</v>
      </c>
      <c r="D481" s="1" t="n">
        <v>1573.1</v>
      </c>
      <c r="E481" s="1" t="n">
        <v>17</v>
      </c>
      <c r="F481" s="1" t="n">
        <v>1338.86</v>
      </c>
      <c r="G481" s="1" t="n">
        <v>0.62</v>
      </c>
      <c r="H481" s="1" t="n">
        <v>1.28</v>
      </c>
      <c r="I481" s="1" t="n">
        <v>7.9</v>
      </c>
      <c r="J481" s="1" t="n">
        <v>92.54</v>
      </c>
      <c r="K481" s="1" t="n">
        <f aca="false">IFERROR(F481/D481,"")</f>
        <v>0.851096560930647</v>
      </c>
    </row>
    <row r="482" customFormat="false" ht="12.8" hidden="false" customHeight="false" outlineLevel="0" collapsed="false">
      <c r="A482" s="1" t="n">
        <v>481</v>
      </c>
      <c r="B482" s="1" t="n">
        <v>371284</v>
      </c>
      <c r="C482" s="1" t="n">
        <v>2024</v>
      </c>
      <c r="D482" s="1" t="n">
        <v>3017.38</v>
      </c>
      <c r="E482" s="1" t="n">
        <v>15</v>
      </c>
      <c r="F482" s="1" t="n">
        <v>1152.93</v>
      </c>
      <c r="G482" s="1" t="n">
        <v>0.55</v>
      </c>
      <c r="H482" s="1" t="n">
        <v>1.49</v>
      </c>
      <c r="I482" s="1" t="n">
        <v>8.13</v>
      </c>
      <c r="J482" s="1" t="n">
        <v>201.16</v>
      </c>
      <c r="K482" s="1" t="n">
        <f aca="false">IFERROR(F482/D482,"")</f>
        <v>0.382096388257362</v>
      </c>
    </row>
    <row r="483" customFormat="false" ht="12.8" hidden="false" customHeight="false" outlineLevel="0" collapsed="false">
      <c r="A483" s="1" t="n">
        <v>482</v>
      </c>
      <c r="B483" s="1" t="n">
        <v>17073</v>
      </c>
      <c r="C483" s="1" t="n">
        <v>209</v>
      </c>
      <c r="D483" s="1" t="n">
        <v>315.9</v>
      </c>
      <c r="E483" s="1" t="n">
        <v>1</v>
      </c>
      <c r="F483" s="1" t="n">
        <v>189.03</v>
      </c>
      <c r="G483" s="1" t="n">
        <v>1.22</v>
      </c>
      <c r="H483" s="1" t="n">
        <v>1.51</v>
      </c>
      <c r="I483" s="1" t="n">
        <v>18.5</v>
      </c>
      <c r="J483" s="1" t="n">
        <v>315.9</v>
      </c>
      <c r="K483" s="1" t="n">
        <f aca="false">IFERROR(F483/D483,"")</f>
        <v>0.598385565052232</v>
      </c>
    </row>
    <row r="484" customFormat="false" ht="12.8" hidden="false" customHeight="false" outlineLevel="0" collapsed="false">
      <c r="A484" s="1" t="n">
        <v>483</v>
      </c>
      <c r="B484" s="1" t="n">
        <v>14067</v>
      </c>
      <c r="C484" s="1" t="n">
        <v>201</v>
      </c>
      <c r="D484" s="1" t="n">
        <v>284.63</v>
      </c>
      <c r="E484" s="1" t="n">
        <v>0</v>
      </c>
      <c r="F484" s="1" t="n">
        <v>0</v>
      </c>
      <c r="G484" s="1" t="n">
        <v>1.43</v>
      </c>
      <c r="H484" s="1" t="n">
        <v>1.42</v>
      </c>
      <c r="I484" s="1" t="n">
        <v>20.23</v>
      </c>
      <c r="K484" s="1" t="n">
        <f aca="false">IFERROR(F484/D484,"")</f>
        <v>0</v>
      </c>
    </row>
    <row r="485" customFormat="false" ht="12.8" hidden="false" customHeight="false" outlineLevel="0" collapsed="false">
      <c r="A485" s="1" t="n">
        <v>484</v>
      </c>
      <c r="B485" s="1" t="n">
        <v>110056</v>
      </c>
      <c r="C485" s="1" t="n">
        <v>1001</v>
      </c>
      <c r="D485" s="1" t="n">
        <v>1371.92</v>
      </c>
      <c r="E485" s="1" t="n">
        <v>12</v>
      </c>
      <c r="F485" s="1" t="n">
        <v>818.28</v>
      </c>
      <c r="G485" s="1" t="n">
        <v>0.91</v>
      </c>
      <c r="H485" s="1" t="n">
        <v>1.37</v>
      </c>
      <c r="I485" s="1" t="n">
        <v>12.47</v>
      </c>
      <c r="J485" s="1" t="n">
        <v>114.33</v>
      </c>
      <c r="K485" s="1" t="n">
        <f aca="false">IFERROR(F485/D485,"")</f>
        <v>0.596448772523179</v>
      </c>
    </row>
    <row r="486" customFormat="false" ht="12.8" hidden="false" customHeight="false" outlineLevel="0" collapsed="false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K486" s="1" t="str">
        <f aca="false">IFERROR(F486/D486,"")</f>
        <v/>
      </c>
    </row>
    <row r="487" customFormat="false" ht="12.8" hidden="false" customHeight="false" outlineLevel="0" collapsed="false">
      <c r="A487" s="1" t="n">
        <v>486</v>
      </c>
      <c r="B487" s="1" t="n">
        <v>7604</v>
      </c>
      <c r="C487" s="1" t="n">
        <v>102</v>
      </c>
      <c r="D487" s="1" t="n">
        <v>0</v>
      </c>
      <c r="E487" s="1" t="n">
        <v>0</v>
      </c>
      <c r="F487" s="1" t="n">
        <v>0</v>
      </c>
      <c r="G487" s="1" t="n">
        <v>1.34</v>
      </c>
      <c r="H487" s="1" t="n">
        <v>0</v>
      </c>
      <c r="I487" s="1" t="n">
        <v>0</v>
      </c>
      <c r="K487" s="1" t="str">
        <f aca="false">IFERROR(F487/D487,"")</f>
        <v/>
      </c>
    </row>
    <row r="488" customFormat="false" ht="12.8" hidden="false" customHeight="false" outlineLevel="0" collapsed="false">
      <c r="A488" s="1" t="n">
        <v>487</v>
      </c>
      <c r="B488" s="1" t="n">
        <v>1503597</v>
      </c>
      <c r="C488" s="1" t="n">
        <v>6289</v>
      </c>
      <c r="D488" s="1" t="n">
        <v>0</v>
      </c>
      <c r="E488" s="1" t="n">
        <v>60</v>
      </c>
      <c r="F488" s="1" t="n">
        <v>4251.12</v>
      </c>
      <c r="G488" s="1" t="n">
        <v>0.42</v>
      </c>
      <c r="H488" s="1" t="n">
        <v>0</v>
      </c>
      <c r="I488" s="1" t="n">
        <v>0</v>
      </c>
      <c r="J488" s="1" t="n">
        <v>0</v>
      </c>
      <c r="K488" s="1" t="str">
        <f aca="false">IFERROR(F488/D488,"")</f>
        <v/>
      </c>
    </row>
    <row r="489" customFormat="false" ht="12.8" hidden="false" customHeight="false" outlineLevel="0" collapsed="false">
      <c r="A489" s="1" t="n">
        <v>488</v>
      </c>
      <c r="B489" s="1" t="n">
        <v>441461</v>
      </c>
      <c r="C489" s="1" t="n">
        <v>1974</v>
      </c>
      <c r="D489" s="1" t="n">
        <v>2824.3</v>
      </c>
      <c r="E489" s="1" t="n">
        <v>39</v>
      </c>
      <c r="F489" s="1" t="n">
        <v>2836.41</v>
      </c>
      <c r="G489" s="1" t="n">
        <v>0.45</v>
      </c>
      <c r="H489" s="1" t="n">
        <v>1.43</v>
      </c>
      <c r="I489" s="1" t="n">
        <v>6.4</v>
      </c>
      <c r="J489" s="1" t="n">
        <v>72.42</v>
      </c>
      <c r="K489" s="1" t="n">
        <f aca="false">IFERROR(F489/D489,"")</f>
        <v>1.00428778812449</v>
      </c>
    </row>
    <row r="490" customFormat="false" ht="12.8" hidden="false" customHeight="false" outlineLevel="0" collapsed="false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K490" s="1" t="str">
        <f aca="false">IFERROR(F490/D490,"")</f>
        <v/>
      </c>
    </row>
    <row r="491" customFormat="false" ht="12.8" hidden="false" customHeight="false" outlineLevel="0" collapsed="false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K491" s="1" t="str">
        <f aca="false">IFERROR(F491/D491,"")</f>
        <v/>
      </c>
    </row>
    <row r="492" customFormat="false" ht="12.8" hidden="false" customHeight="false" outlineLevel="0" collapsed="false">
      <c r="A492" s="1" t="n">
        <v>491</v>
      </c>
      <c r="B492" s="1" t="n">
        <v>47804</v>
      </c>
      <c r="C492" s="1" t="n">
        <v>1040</v>
      </c>
      <c r="D492" s="1" t="n">
        <v>0</v>
      </c>
      <c r="E492" s="1" t="n">
        <v>0</v>
      </c>
      <c r="F492" s="1" t="n">
        <v>0</v>
      </c>
      <c r="G492" s="1" t="n">
        <v>2.18</v>
      </c>
      <c r="H492" s="1" t="n">
        <v>0</v>
      </c>
      <c r="I492" s="1" t="n">
        <v>0</v>
      </c>
      <c r="K492" s="1" t="str">
        <f aca="false">IFERROR(F492/D492,"")</f>
        <v/>
      </c>
    </row>
    <row r="493" customFormat="false" ht="12.8" hidden="false" customHeight="false" outlineLevel="0" collapsed="false">
      <c r="A493" s="1" t="n">
        <v>492</v>
      </c>
      <c r="B493" s="1" t="n">
        <v>65516</v>
      </c>
      <c r="C493" s="1" t="n">
        <v>389</v>
      </c>
      <c r="D493" s="1" t="n">
        <v>651.66</v>
      </c>
      <c r="E493" s="1" t="n">
        <v>4</v>
      </c>
      <c r="F493" s="1" t="n">
        <v>216.46</v>
      </c>
      <c r="G493" s="1" t="n">
        <v>0.59</v>
      </c>
      <c r="H493" s="1" t="n">
        <v>1.68</v>
      </c>
      <c r="I493" s="1" t="n">
        <v>9.95</v>
      </c>
      <c r="J493" s="1" t="n">
        <v>162.92</v>
      </c>
      <c r="K493" s="1" t="n">
        <f aca="false">IFERROR(F493/D493,"")</f>
        <v>0.332167080993156</v>
      </c>
    </row>
    <row r="494" customFormat="false" ht="12.8" hidden="false" customHeight="false" outlineLevel="0" collapsed="false">
      <c r="A494" s="1" t="n">
        <v>493</v>
      </c>
      <c r="B494" s="1" t="n">
        <v>13453</v>
      </c>
      <c r="C494" s="1" t="n">
        <v>155</v>
      </c>
      <c r="D494" s="1" t="n">
        <v>205.17</v>
      </c>
      <c r="E494" s="1" t="n">
        <v>2</v>
      </c>
      <c r="F494" s="1" t="n">
        <v>151</v>
      </c>
      <c r="G494" s="1" t="n">
        <v>1.15</v>
      </c>
      <c r="H494" s="1" t="n">
        <v>1.32</v>
      </c>
      <c r="I494" s="1" t="n">
        <v>15.25</v>
      </c>
      <c r="J494" s="1" t="n">
        <v>102.59</v>
      </c>
      <c r="K494" s="1" t="n">
        <f aca="false">IFERROR(F494/D494,"")</f>
        <v>0.735975045084564</v>
      </c>
    </row>
    <row r="495" customFormat="false" ht="12.8" hidden="false" customHeight="false" outlineLevel="0" collapsed="false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K495" s="1" t="str">
        <f aca="false">IFERROR(F495/D495,"")</f>
        <v/>
      </c>
    </row>
    <row r="496" customFormat="false" ht="12.8" hidden="false" customHeight="false" outlineLevel="0" collapsed="false">
      <c r="A496" s="1" t="n">
        <v>495</v>
      </c>
      <c r="B496" s="1" t="n">
        <v>515851</v>
      </c>
      <c r="C496" s="1" t="n">
        <v>1350</v>
      </c>
      <c r="D496" s="1" t="n">
        <v>2121.55</v>
      </c>
      <c r="E496" s="1" t="n">
        <v>12</v>
      </c>
      <c r="F496" s="1" t="n">
        <v>818.85</v>
      </c>
      <c r="G496" s="1" t="n">
        <v>0.26</v>
      </c>
      <c r="H496" s="1" t="n">
        <v>1.57</v>
      </c>
      <c r="I496" s="1" t="n">
        <v>4.11</v>
      </c>
      <c r="J496" s="1" t="n">
        <v>176.8</v>
      </c>
      <c r="K496" s="1" t="n">
        <f aca="false">IFERROR(F496/D496,"")</f>
        <v>0.385967806556527</v>
      </c>
    </row>
    <row r="497" customFormat="false" ht="12.8" hidden="false" customHeight="false" outlineLevel="0" collapsed="false">
      <c r="A497" s="1" t="n">
        <v>496</v>
      </c>
      <c r="B497" s="1" t="n">
        <v>128848</v>
      </c>
      <c r="C497" s="1" t="n">
        <v>1065</v>
      </c>
      <c r="D497" s="1" t="n">
        <v>1494.92</v>
      </c>
      <c r="E497" s="1" t="n">
        <v>9</v>
      </c>
      <c r="F497" s="1" t="n">
        <v>640.9</v>
      </c>
      <c r="G497" s="1" t="n">
        <v>0.83</v>
      </c>
      <c r="H497" s="1" t="n">
        <v>1.4</v>
      </c>
      <c r="I497" s="1" t="n">
        <v>11.6</v>
      </c>
      <c r="J497" s="1" t="n">
        <v>166.1</v>
      </c>
      <c r="K497" s="1" t="n">
        <f aca="false">IFERROR(F497/D497,"")</f>
        <v>0.428718593637118</v>
      </c>
    </row>
    <row r="498" customFormat="false" ht="12.8" hidden="false" customHeight="false" outlineLevel="0" collapsed="false">
      <c r="A498" s="1" t="n">
        <v>497</v>
      </c>
      <c r="B498" s="1" t="n">
        <v>206461</v>
      </c>
      <c r="C498" s="1" t="n">
        <v>1098</v>
      </c>
      <c r="D498" s="1" t="n">
        <v>1420.82</v>
      </c>
      <c r="E498" s="1" t="n">
        <v>10</v>
      </c>
      <c r="F498" s="1" t="n">
        <v>715.4</v>
      </c>
      <c r="G498" s="1" t="n">
        <v>0.53</v>
      </c>
      <c r="H498" s="1" t="n">
        <v>1.29</v>
      </c>
      <c r="I498" s="1" t="n">
        <v>6.88</v>
      </c>
      <c r="J498" s="1" t="n">
        <v>142.08</v>
      </c>
      <c r="K498" s="1" t="n">
        <f aca="false">IFERROR(F498/D498,"")</f>
        <v>0.503512056418125</v>
      </c>
    </row>
    <row r="499" customFormat="false" ht="12.8" hidden="false" customHeight="false" outlineLevel="0" collapsed="false">
      <c r="A499" s="1" t="n">
        <v>498</v>
      </c>
      <c r="B499" s="1" t="n">
        <v>1140339</v>
      </c>
      <c r="C499" s="1" t="n">
        <v>4147</v>
      </c>
      <c r="D499" s="1" t="n">
        <v>0</v>
      </c>
      <c r="E499" s="1" t="n">
        <v>49</v>
      </c>
      <c r="F499" s="1" t="n">
        <v>3909.02</v>
      </c>
      <c r="G499" s="1" t="n">
        <v>0.36</v>
      </c>
      <c r="H499" s="1" t="n">
        <v>0</v>
      </c>
      <c r="I499" s="1" t="n">
        <v>0</v>
      </c>
      <c r="J499" s="1" t="n">
        <v>0</v>
      </c>
      <c r="K499" s="1" t="str">
        <f aca="false">IFERROR(F499/D499,"")</f>
        <v/>
      </c>
    </row>
    <row r="500" customFormat="false" ht="12.8" hidden="false" customHeight="false" outlineLevel="0" collapsed="false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K500" s="1" t="str">
        <f aca="false">IFERROR(F500/D500,"")</f>
        <v/>
      </c>
    </row>
    <row r="501" customFormat="false" ht="12.8" hidden="false" customHeight="false" outlineLevel="0" collapsed="false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0</v>
      </c>
      <c r="K501" s="1" t="str">
        <f aca="false">IFERROR(F501/D501,"")</f>
        <v/>
      </c>
    </row>
    <row r="502" customFormat="false" ht="12.8" hidden="false" customHeight="false" outlineLevel="0" collapsed="false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K502" s="1" t="str">
        <f aca="false">IFERROR(F502/D502,"")</f>
        <v/>
      </c>
    </row>
    <row r="503" customFormat="false" ht="12.8" hidden="false" customHeight="false" outlineLevel="0" collapsed="false">
      <c r="A503" s="1" t="n">
        <v>502</v>
      </c>
      <c r="B503" s="1" t="n">
        <v>13972</v>
      </c>
      <c r="C503" s="1" t="n">
        <v>241</v>
      </c>
      <c r="D503" s="1" t="n">
        <v>0</v>
      </c>
      <c r="E503" s="1" t="n">
        <v>1</v>
      </c>
      <c r="F503" s="1" t="n">
        <v>43.19</v>
      </c>
      <c r="G503" s="1" t="n">
        <v>1.72</v>
      </c>
      <c r="H503" s="1" t="n">
        <v>0</v>
      </c>
      <c r="I503" s="1" t="n">
        <v>0</v>
      </c>
      <c r="J503" s="1" t="n">
        <v>0</v>
      </c>
      <c r="K503" s="1" t="str">
        <f aca="false">IFERROR(F503/D503,"")</f>
        <v/>
      </c>
    </row>
    <row r="504" customFormat="false" ht="12.8" hidden="false" customHeight="false" outlineLevel="0" collapsed="false">
      <c r="A504" s="1" t="n">
        <v>503</v>
      </c>
      <c r="B504" s="1" t="n">
        <v>60045</v>
      </c>
      <c r="C504" s="1" t="n">
        <v>640</v>
      </c>
      <c r="D504" s="1" t="n">
        <v>0</v>
      </c>
      <c r="E504" s="1" t="n">
        <v>7</v>
      </c>
      <c r="F504" s="1" t="n">
        <v>383.38</v>
      </c>
      <c r="G504" s="1" t="n">
        <v>1.07</v>
      </c>
      <c r="H504" s="1" t="n">
        <v>0</v>
      </c>
      <c r="I504" s="1" t="n">
        <v>0</v>
      </c>
      <c r="J504" s="1" t="n">
        <v>0</v>
      </c>
      <c r="K504" s="1" t="str">
        <f aca="false">IFERROR(F504/D504,"")</f>
        <v/>
      </c>
    </row>
    <row r="505" customFormat="false" ht="12.8" hidden="false" customHeight="false" outlineLevel="0" collapsed="false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K505" s="1" t="str">
        <f aca="false">IFERROR(F505/D505,"")</f>
        <v/>
      </c>
    </row>
    <row r="506" customFormat="false" ht="12.8" hidden="false" customHeight="false" outlineLevel="0" collapsed="false">
      <c r="A506" s="1" t="n">
        <v>505</v>
      </c>
      <c r="B506" s="1" t="n">
        <v>5569</v>
      </c>
      <c r="C506" s="1" t="n">
        <v>170</v>
      </c>
      <c r="D506" s="1" t="n">
        <v>245.89</v>
      </c>
      <c r="E506" s="1" t="n">
        <v>0</v>
      </c>
      <c r="F506" s="1" t="n">
        <v>0</v>
      </c>
      <c r="G506" s="1" t="n">
        <v>3.05</v>
      </c>
      <c r="H506" s="1" t="n">
        <v>1.45</v>
      </c>
      <c r="I506" s="1" t="n">
        <v>44.15</v>
      </c>
      <c r="K506" s="1" t="n">
        <f aca="false">IFERROR(F506/D506,"")</f>
        <v>0</v>
      </c>
    </row>
    <row r="507" customFormat="false" ht="12.8" hidden="false" customHeight="false" outlineLevel="0" collapsed="false">
      <c r="A507" s="1" t="n">
        <v>506</v>
      </c>
      <c r="B507" s="1" t="n">
        <v>195965</v>
      </c>
      <c r="C507" s="1" t="n">
        <v>1791</v>
      </c>
      <c r="D507" s="1" t="n">
        <v>2556.27</v>
      </c>
      <c r="E507" s="1" t="n">
        <v>16</v>
      </c>
      <c r="F507" s="1" t="n">
        <v>951.03</v>
      </c>
      <c r="G507" s="1" t="n">
        <v>0.91</v>
      </c>
      <c r="H507" s="1" t="n">
        <v>1.43</v>
      </c>
      <c r="I507" s="1" t="n">
        <v>13.04</v>
      </c>
      <c r="J507" s="1" t="n">
        <v>159.77</v>
      </c>
      <c r="K507" s="1" t="n">
        <f aca="false">IFERROR(F507/D507,"")</f>
        <v>0.372038164982572</v>
      </c>
    </row>
    <row r="508" customFormat="false" ht="12.8" hidden="false" customHeight="false" outlineLevel="0" collapsed="false">
      <c r="A508" s="1" t="n">
        <v>507</v>
      </c>
      <c r="B508" s="1" t="n">
        <v>734388</v>
      </c>
      <c r="C508" s="1" t="n">
        <v>2611</v>
      </c>
      <c r="D508" s="1" t="n">
        <v>0</v>
      </c>
      <c r="E508" s="1" t="n">
        <v>26</v>
      </c>
      <c r="F508" s="1" t="n">
        <v>1245.95</v>
      </c>
      <c r="G508" s="1" t="n">
        <v>0.36</v>
      </c>
      <c r="H508" s="1" t="n">
        <v>0</v>
      </c>
      <c r="I508" s="1" t="n">
        <v>0</v>
      </c>
      <c r="J508" s="1" t="n">
        <v>0</v>
      </c>
      <c r="K508" s="1" t="str">
        <f aca="false">IFERROR(F508/D508,"")</f>
        <v/>
      </c>
    </row>
    <row r="509" customFormat="false" ht="12.8" hidden="false" customHeight="false" outlineLevel="0" collapsed="false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K509" s="1" t="str">
        <f aca="false">IFERROR(F509/D509,"")</f>
        <v/>
      </c>
    </row>
    <row r="510" customFormat="false" ht="12.8" hidden="false" customHeight="false" outlineLevel="0" collapsed="false">
      <c r="A510" s="1" t="n">
        <v>509</v>
      </c>
      <c r="B510" s="1" t="n">
        <v>565713</v>
      </c>
      <c r="C510" s="1" t="n">
        <v>2184</v>
      </c>
      <c r="D510" s="1" t="n">
        <v>2813.54</v>
      </c>
      <c r="E510" s="1" t="n">
        <v>19</v>
      </c>
      <c r="F510" s="1" t="n">
        <v>1057.99</v>
      </c>
      <c r="G510" s="1" t="n">
        <v>0.39</v>
      </c>
      <c r="H510" s="1" t="n">
        <v>1.29</v>
      </c>
      <c r="I510" s="1" t="n">
        <v>4.97</v>
      </c>
      <c r="J510" s="1" t="n">
        <v>148.08</v>
      </c>
      <c r="K510" s="1" t="n">
        <f aca="false">IFERROR(F510/D510,"")</f>
        <v>0.376035172771668</v>
      </c>
    </row>
    <row r="511" customFormat="false" ht="12.8" hidden="false" customHeight="false" outlineLevel="0" collapsed="false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K511" s="1" t="str">
        <f aca="false">IFERROR(F511/D511,"")</f>
        <v/>
      </c>
    </row>
    <row r="512" customFormat="false" ht="12.8" hidden="false" customHeight="false" outlineLevel="0" collapsed="false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K512" s="1" t="str">
        <f aca="false">IFERROR(F512/D512,"")</f>
        <v/>
      </c>
    </row>
    <row r="513" customFormat="false" ht="12.8" hidden="false" customHeight="false" outlineLevel="0" collapsed="false">
      <c r="A513" s="1" t="n">
        <v>512</v>
      </c>
      <c r="B513" s="1" t="n">
        <v>39910</v>
      </c>
      <c r="C513" s="1" t="n">
        <v>622</v>
      </c>
      <c r="D513" s="1" t="n">
        <v>0</v>
      </c>
      <c r="E513" s="1" t="n">
        <v>2</v>
      </c>
      <c r="F513" s="1" t="n">
        <v>122.43</v>
      </c>
      <c r="G513" s="1" t="n">
        <v>1.56</v>
      </c>
      <c r="H513" s="1" t="n">
        <v>0</v>
      </c>
      <c r="I513" s="1" t="n">
        <v>0</v>
      </c>
      <c r="J513" s="1" t="n">
        <v>0</v>
      </c>
      <c r="K513" s="1" t="str">
        <f aca="false">IFERROR(F513/D513,"")</f>
        <v/>
      </c>
    </row>
    <row r="514" customFormat="false" ht="12.8" hidden="false" customHeight="false" outlineLevel="0" collapsed="false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K514" s="1" t="str">
        <f aca="false">IFERROR(F514/D514,"")</f>
        <v/>
      </c>
    </row>
    <row r="515" customFormat="false" ht="12.8" hidden="false" customHeight="false" outlineLevel="0" collapsed="false">
      <c r="A515" s="1" t="n">
        <v>514</v>
      </c>
      <c r="B515" s="1" t="n">
        <v>45585</v>
      </c>
      <c r="C515" s="1" t="n">
        <v>556</v>
      </c>
      <c r="D515" s="1" t="n">
        <v>902.25</v>
      </c>
      <c r="E515" s="1" t="n">
        <v>6</v>
      </c>
      <c r="F515" s="1" t="n">
        <v>408.64</v>
      </c>
      <c r="G515" s="1" t="n">
        <v>1.22</v>
      </c>
      <c r="H515" s="1" t="n">
        <v>1.62</v>
      </c>
      <c r="I515" s="1" t="n">
        <v>19.79</v>
      </c>
      <c r="J515" s="1" t="n">
        <v>150.38</v>
      </c>
      <c r="K515" s="1" t="n">
        <f aca="false">IFERROR(F515/D515,"")</f>
        <v>0.452912164034359</v>
      </c>
    </row>
    <row r="516" customFormat="false" ht="12.8" hidden="false" customHeight="false" outlineLevel="0" collapsed="false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K516" s="1" t="str">
        <f aca="false">IFERROR(F516/D516,"")</f>
        <v/>
      </c>
    </row>
    <row r="517" customFormat="false" ht="12.8" hidden="false" customHeight="false" outlineLevel="0" collapsed="false">
      <c r="A517" s="1" t="n">
        <v>516</v>
      </c>
      <c r="B517" s="1" t="n">
        <v>15057</v>
      </c>
      <c r="C517" s="1" t="n">
        <v>126</v>
      </c>
      <c r="D517" s="1" t="n">
        <v>200.52</v>
      </c>
      <c r="E517" s="1" t="n">
        <v>3</v>
      </c>
      <c r="F517" s="1" t="n">
        <v>147.82</v>
      </c>
      <c r="G517" s="1" t="n">
        <v>0.84</v>
      </c>
      <c r="H517" s="1" t="n">
        <v>1.59</v>
      </c>
      <c r="I517" s="1" t="n">
        <v>13.32</v>
      </c>
      <c r="J517" s="1" t="n">
        <v>66.84</v>
      </c>
      <c r="K517" s="1" t="n">
        <f aca="false">IFERROR(F517/D517,"")</f>
        <v>0.737183323359266</v>
      </c>
    </row>
    <row r="518" customFormat="false" ht="12.8" hidden="false" customHeight="false" outlineLevel="0" collapsed="false">
      <c r="A518" s="1" t="n">
        <v>517</v>
      </c>
      <c r="B518" s="1" t="n">
        <v>1164</v>
      </c>
      <c r="C518" s="1" t="n">
        <v>46</v>
      </c>
      <c r="D518" s="1" t="n">
        <v>0</v>
      </c>
      <c r="E518" s="1" t="n">
        <v>0</v>
      </c>
      <c r="F518" s="1" t="n">
        <v>0</v>
      </c>
      <c r="G518" s="1" t="n">
        <v>3.95</v>
      </c>
      <c r="H518" s="1" t="n">
        <v>0</v>
      </c>
      <c r="I518" s="1" t="n">
        <v>0</v>
      </c>
      <c r="K518" s="1" t="str">
        <f aca="false">IFERROR(F518/D518,"")</f>
        <v/>
      </c>
    </row>
    <row r="519" customFormat="false" ht="12.8" hidden="false" customHeight="false" outlineLevel="0" collapsed="false">
      <c r="A519" s="1" t="n">
        <v>518</v>
      </c>
      <c r="B519" s="1" t="n">
        <v>68808</v>
      </c>
      <c r="C519" s="1" t="n">
        <v>259</v>
      </c>
      <c r="D519" s="1" t="n">
        <v>318.32</v>
      </c>
      <c r="E519" s="1" t="n">
        <v>0</v>
      </c>
      <c r="F519" s="1" t="n">
        <v>0</v>
      </c>
      <c r="G519" s="1" t="n">
        <v>0.38</v>
      </c>
      <c r="H519" s="1" t="n">
        <v>1.23</v>
      </c>
      <c r="I519" s="1" t="n">
        <v>4.63</v>
      </c>
      <c r="K519" s="1" t="n">
        <f aca="false">IFERROR(F519/D519,"")</f>
        <v>0</v>
      </c>
    </row>
    <row r="520" customFormat="false" ht="12.8" hidden="false" customHeight="false" outlineLevel="0" collapsed="false">
      <c r="A520" s="1" t="n">
        <v>519</v>
      </c>
      <c r="B520" s="1" t="n">
        <v>139113</v>
      </c>
      <c r="C520" s="1" t="n">
        <v>1661</v>
      </c>
      <c r="D520" s="1" t="n">
        <v>2515.64</v>
      </c>
      <c r="E520" s="1" t="n">
        <v>8</v>
      </c>
      <c r="F520" s="1" t="n">
        <v>521.36</v>
      </c>
      <c r="G520" s="1" t="n">
        <v>1.19</v>
      </c>
      <c r="H520" s="1" t="n">
        <v>1.51</v>
      </c>
      <c r="I520" s="1" t="n">
        <v>18.08</v>
      </c>
      <c r="J520" s="1" t="n">
        <v>314.46</v>
      </c>
      <c r="K520" s="1" t="n">
        <f aca="false">IFERROR(F520/D520,"")</f>
        <v>0.207247459890922</v>
      </c>
    </row>
    <row r="521" customFormat="false" ht="12.8" hidden="false" customHeight="false" outlineLevel="0" collapsed="false">
      <c r="A521" s="1" t="n">
        <v>520</v>
      </c>
      <c r="B521" s="1" t="n">
        <v>99939</v>
      </c>
      <c r="C521" s="1" t="n">
        <v>818</v>
      </c>
      <c r="D521" s="1" t="n">
        <v>1354.15</v>
      </c>
      <c r="E521" s="1" t="n">
        <v>7</v>
      </c>
      <c r="F521" s="1" t="n">
        <v>546.15</v>
      </c>
      <c r="G521" s="1" t="n">
        <v>0.82</v>
      </c>
      <c r="H521" s="1" t="n">
        <v>1.66</v>
      </c>
      <c r="I521" s="1" t="n">
        <v>13.55</v>
      </c>
      <c r="J521" s="1" t="n">
        <v>193.45</v>
      </c>
      <c r="K521" s="1" t="n">
        <f aca="false">IFERROR(F521/D521,"")</f>
        <v>0.403315733116715</v>
      </c>
    </row>
    <row r="522" customFormat="false" ht="12.8" hidden="false" customHeight="false" outlineLevel="0" collapsed="false">
      <c r="A522" s="1" t="n">
        <v>521</v>
      </c>
      <c r="B522" s="1" t="n">
        <v>2487</v>
      </c>
      <c r="C522" s="1" t="n">
        <v>151</v>
      </c>
      <c r="D522" s="1" t="n">
        <v>200.38</v>
      </c>
      <c r="E522" s="1" t="n">
        <v>0</v>
      </c>
      <c r="F522" s="1" t="n">
        <v>0</v>
      </c>
      <c r="G522" s="1" t="n">
        <v>6.07</v>
      </c>
      <c r="H522" s="1" t="n">
        <v>1.33</v>
      </c>
      <c r="I522" s="1" t="n">
        <v>80.57</v>
      </c>
      <c r="K522" s="1" t="n">
        <f aca="false">IFERROR(F522/D522,"")</f>
        <v>0</v>
      </c>
    </row>
    <row r="523" customFormat="false" ht="12.8" hidden="false" customHeight="false" outlineLevel="0" collapsed="false">
      <c r="A523" s="1" t="n">
        <v>522</v>
      </c>
      <c r="B523" s="1" t="n">
        <v>1320903</v>
      </c>
      <c r="C523" s="1" t="n">
        <v>3398</v>
      </c>
      <c r="D523" s="1" t="n">
        <v>4865.47</v>
      </c>
      <c r="E523" s="1" t="n">
        <v>38</v>
      </c>
      <c r="F523" s="1" t="n">
        <v>4274.83</v>
      </c>
      <c r="G523" s="1" t="n">
        <v>0.26</v>
      </c>
      <c r="H523" s="1" t="n">
        <v>1.43</v>
      </c>
      <c r="I523" s="1" t="n">
        <v>3.68</v>
      </c>
      <c r="J523" s="1" t="n">
        <v>128.04</v>
      </c>
      <c r="K523" s="1" t="n">
        <f aca="false">IFERROR(F523/D523,"")</f>
        <v>0.878605766760457</v>
      </c>
    </row>
    <row r="524" customFormat="false" ht="12.8" hidden="false" customHeight="false" outlineLevel="0" collapsed="false">
      <c r="A524" s="1" t="n">
        <v>523</v>
      </c>
      <c r="B524" s="1" t="n">
        <v>954982</v>
      </c>
      <c r="C524" s="1" t="n">
        <v>3247</v>
      </c>
      <c r="D524" s="1" t="n">
        <v>4722.75</v>
      </c>
      <c r="E524" s="1" t="n">
        <v>34</v>
      </c>
      <c r="F524" s="1" t="n">
        <v>2796.39</v>
      </c>
      <c r="G524" s="1" t="n">
        <v>0.34</v>
      </c>
      <c r="H524" s="1" t="n">
        <v>1.45</v>
      </c>
      <c r="I524" s="1" t="n">
        <v>4.95</v>
      </c>
      <c r="J524" s="1" t="n">
        <v>138.9</v>
      </c>
      <c r="K524" s="1" t="n">
        <f aca="false">IFERROR(F524/D524,"")</f>
        <v>0.592110528823249</v>
      </c>
    </row>
    <row r="525" customFormat="false" ht="12.8" hidden="false" customHeight="false" outlineLevel="0" collapsed="false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K525" s="1" t="str">
        <f aca="false">IFERROR(F525/D525,"")</f>
        <v/>
      </c>
    </row>
    <row r="526" customFormat="false" ht="12.8" hidden="false" customHeight="false" outlineLevel="0" collapsed="false">
      <c r="A526" s="1" t="n">
        <v>525</v>
      </c>
      <c r="B526" s="1" t="n">
        <v>48211</v>
      </c>
      <c r="C526" s="1" t="n">
        <v>429</v>
      </c>
      <c r="D526" s="1" t="n">
        <v>646.41</v>
      </c>
      <c r="E526" s="1" t="n">
        <v>5</v>
      </c>
      <c r="F526" s="1" t="n">
        <v>665.49</v>
      </c>
      <c r="G526" s="1" t="n">
        <v>0.89</v>
      </c>
      <c r="H526" s="1" t="n">
        <v>1.51</v>
      </c>
      <c r="I526" s="1" t="n">
        <v>13.41</v>
      </c>
      <c r="J526" s="1" t="n">
        <v>129.28</v>
      </c>
      <c r="K526" s="1" t="n">
        <f aca="false">IFERROR(F526/D526,"")</f>
        <v>1.02951687009793</v>
      </c>
    </row>
    <row r="527" customFormat="false" ht="12.8" hidden="false" customHeight="false" outlineLevel="0" collapsed="false">
      <c r="A527" s="1" t="n">
        <v>526</v>
      </c>
      <c r="B527" s="1" t="n">
        <v>11413</v>
      </c>
      <c r="C527" s="1" t="n">
        <v>159</v>
      </c>
      <c r="D527" s="1" t="n">
        <v>238.15</v>
      </c>
      <c r="E527" s="1" t="n">
        <v>1</v>
      </c>
      <c r="F527" s="1" t="n">
        <v>72.51</v>
      </c>
      <c r="G527" s="1" t="n">
        <v>1.39</v>
      </c>
      <c r="H527" s="1" t="n">
        <v>1.5</v>
      </c>
      <c r="I527" s="1" t="n">
        <v>20.87</v>
      </c>
      <c r="J527" s="1" t="n">
        <v>238.15</v>
      </c>
      <c r="K527" s="1" t="n">
        <f aca="false">IFERROR(F527/D527,"")</f>
        <v>0.304471971446567</v>
      </c>
    </row>
    <row r="528" customFormat="false" ht="12.8" hidden="false" customHeight="false" outlineLevel="0" collapsed="false">
      <c r="A528" s="1" t="n">
        <v>527</v>
      </c>
      <c r="B528" s="1" t="n">
        <v>536284</v>
      </c>
      <c r="C528" s="1" t="n">
        <v>5173</v>
      </c>
      <c r="D528" s="1" t="n">
        <v>7108.45</v>
      </c>
      <c r="E528" s="1" t="n">
        <v>45</v>
      </c>
      <c r="F528" s="1" t="n">
        <v>3424.52</v>
      </c>
      <c r="G528" s="1" t="n">
        <v>0.96</v>
      </c>
      <c r="H528" s="1" t="n">
        <v>1.37</v>
      </c>
      <c r="I528" s="1" t="n">
        <v>13.26</v>
      </c>
      <c r="J528" s="1" t="n">
        <v>157.97</v>
      </c>
      <c r="K528" s="1" t="n">
        <f aca="false">IFERROR(F528/D528,"")</f>
        <v>0.481753406157461</v>
      </c>
    </row>
    <row r="529" customFormat="false" ht="12.8" hidden="false" customHeight="false" outlineLevel="0" collapsed="false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K529" s="1" t="str">
        <f aca="false">IFERROR(F529/D529,"")</f>
        <v/>
      </c>
    </row>
    <row r="530" customFormat="false" ht="12.8" hidden="false" customHeight="false" outlineLevel="0" collapsed="false">
      <c r="A530" s="1" t="n">
        <v>529</v>
      </c>
      <c r="B530" s="1" t="n">
        <v>7165118</v>
      </c>
      <c r="C530" s="1" t="n">
        <v>16514</v>
      </c>
      <c r="D530" s="1" t="n">
        <v>24896.93</v>
      </c>
      <c r="E530" s="1" t="n">
        <v>210</v>
      </c>
      <c r="F530" s="1" t="n">
        <v>15391.56</v>
      </c>
      <c r="G530" s="1" t="n">
        <v>0.23</v>
      </c>
      <c r="H530" s="1" t="n">
        <v>1.51</v>
      </c>
      <c r="I530" s="1" t="n">
        <v>3.47</v>
      </c>
      <c r="J530" s="1" t="n">
        <v>118.56</v>
      </c>
      <c r="K530" s="1" t="n">
        <f aca="false">IFERROR(F530/D530,"")</f>
        <v>0.618211160974466</v>
      </c>
    </row>
    <row r="531" customFormat="false" ht="12.8" hidden="false" customHeight="false" outlineLevel="0" collapsed="false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K531" s="1" t="str">
        <f aca="false">IFERROR(F531/D531,"")</f>
        <v/>
      </c>
    </row>
    <row r="532" customFormat="false" ht="12.8" hidden="false" customHeight="false" outlineLevel="0" collapsed="false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K532" s="1" t="str">
        <f aca="false">IFERROR(F532/D532,"")</f>
        <v/>
      </c>
    </row>
    <row r="533" customFormat="false" ht="12.8" hidden="false" customHeight="false" outlineLevel="0" collapsed="false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K533" s="1" t="str">
        <f aca="false">IFERROR(F533/D533,"")</f>
        <v/>
      </c>
    </row>
    <row r="534" customFormat="false" ht="12.8" hidden="false" customHeight="false" outlineLevel="0" collapsed="false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K534" s="1" t="str">
        <f aca="false">IFERROR(F534/D534,"")</f>
        <v/>
      </c>
    </row>
    <row r="535" customFormat="false" ht="12.8" hidden="false" customHeight="false" outlineLevel="0" collapsed="false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K535" s="1" t="str">
        <f aca="false">IFERROR(F535/D535,"")</f>
        <v/>
      </c>
    </row>
    <row r="536" customFormat="false" ht="12.8" hidden="false" customHeight="false" outlineLevel="0" collapsed="false">
      <c r="A536" s="1" t="n">
        <v>535</v>
      </c>
      <c r="B536" s="1" t="n">
        <v>2802</v>
      </c>
      <c r="C536" s="1" t="n">
        <v>62</v>
      </c>
      <c r="D536" s="1" t="n">
        <v>64.19</v>
      </c>
      <c r="E536" s="1" t="n">
        <v>0</v>
      </c>
      <c r="F536" s="1" t="n">
        <v>0</v>
      </c>
      <c r="G536" s="1" t="n">
        <v>2.21</v>
      </c>
      <c r="H536" s="1" t="n">
        <v>1.04</v>
      </c>
      <c r="I536" s="1" t="n">
        <v>22.91</v>
      </c>
      <c r="K536" s="1" t="n">
        <f aca="false">IFERROR(F536/D536,"")</f>
        <v>0</v>
      </c>
    </row>
    <row r="537" customFormat="false" ht="12.8" hidden="false" customHeight="false" outlineLevel="0" collapsed="false">
      <c r="A537" s="1" t="n">
        <v>536</v>
      </c>
      <c r="B537" s="1" t="n">
        <v>9736</v>
      </c>
      <c r="C537" s="1" t="n">
        <v>132</v>
      </c>
      <c r="D537" s="1" t="n">
        <v>176.98</v>
      </c>
      <c r="E537" s="1" t="n">
        <v>2</v>
      </c>
      <c r="F537" s="1" t="n">
        <v>179.63</v>
      </c>
      <c r="G537" s="1" t="n">
        <v>1.36</v>
      </c>
      <c r="H537" s="1" t="n">
        <v>1.34</v>
      </c>
      <c r="I537" s="1" t="n">
        <v>18.18</v>
      </c>
      <c r="J537" s="1" t="n">
        <v>88.49</v>
      </c>
      <c r="K537" s="1" t="n">
        <f aca="false">IFERROR(F537/D537,"")</f>
        <v>1.01497344332693</v>
      </c>
    </row>
    <row r="538" customFormat="false" ht="12.8" hidden="false" customHeight="false" outlineLevel="0" collapsed="false">
      <c r="A538" s="1" t="n">
        <v>537</v>
      </c>
      <c r="B538" s="1" t="n">
        <v>835760</v>
      </c>
      <c r="C538" s="1" t="n">
        <v>1873</v>
      </c>
      <c r="D538" s="1" t="n">
        <v>3130.55</v>
      </c>
      <c r="E538" s="1" t="n">
        <v>22</v>
      </c>
      <c r="F538" s="1" t="n">
        <v>1267.76</v>
      </c>
      <c r="G538" s="1" t="n">
        <v>0.22</v>
      </c>
      <c r="H538" s="1" t="n">
        <v>1.67</v>
      </c>
      <c r="I538" s="1" t="n">
        <v>3.75</v>
      </c>
      <c r="J538" s="1" t="n">
        <v>142.3</v>
      </c>
      <c r="K538" s="1" t="n">
        <f aca="false">IFERROR(F538/D538,"")</f>
        <v>0.404963983964479</v>
      </c>
    </row>
    <row r="539" customFormat="false" ht="12.8" hidden="false" customHeight="false" outlineLevel="0" collapsed="false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K539" s="1" t="str">
        <f aca="false">IFERROR(F539/D539,"")</f>
        <v/>
      </c>
    </row>
    <row r="540" customFormat="false" ht="12.8" hidden="false" customHeight="false" outlineLevel="0" collapsed="false">
      <c r="A540" s="1" t="n">
        <v>539</v>
      </c>
      <c r="B540" s="1" t="n">
        <v>3478</v>
      </c>
      <c r="C540" s="1" t="n">
        <v>65</v>
      </c>
      <c r="D540" s="1" t="n">
        <v>90.58</v>
      </c>
      <c r="E540" s="1" t="n">
        <v>0</v>
      </c>
      <c r="F540" s="1" t="n">
        <v>0</v>
      </c>
      <c r="G540" s="1" t="n">
        <v>1.87</v>
      </c>
      <c r="H540" s="1" t="n">
        <v>1.39</v>
      </c>
      <c r="I540" s="1" t="n">
        <v>26.04</v>
      </c>
      <c r="K540" s="1" t="n">
        <f aca="false">IFERROR(F540/D540,"")</f>
        <v>0</v>
      </c>
    </row>
    <row r="541" customFormat="false" ht="12.8" hidden="false" customHeight="false" outlineLevel="0" collapsed="false">
      <c r="A541" s="1" t="n">
        <v>540</v>
      </c>
      <c r="B541" s="1" t="n">
        <v>7689</v>
      </c>
      <c r="C541" s="1" t="n">
        <v>112</v>
      </c>
      <c r="D541" s="1" t="n">
        <v>148.49</v>
      </c>
      <c r="E541" s="1" t="n">
        <v>0</v>
      </c>
      <c r="F541" s="1" t="n">
        <v>0</v>
      </c>
      <c r="G541" s="1" t="n">
        <v>1.46</v>
      </c>
      <c r="H541" s="1" t="n">
        <v>1.33</v>
      </c>
      <c r="I541" s="1" t="n">
        <v>19.31</v>
      </c>
      <c r="K541" s="1" t="n">
        <f aca="false">IFERROR(F541/D541,"")</f>
        <v>0</v>
      </c>
    </row>
    <row r="542" customFormat="false" ht="12.8" hidden="false" customHeight="false" outlineLevel="0" collapsed="false">
      <c r="A542" s="1" t="n">
        <v>541</v>
      </c>
      <c r="B542" s="1" t="n">
        <v>54507</v>
      </c>
      <c r="C542" s="1" t="n">
        <v>806</v>
      </c>
      <c r="D542" s="1" t="n">
        <v>1107.85</v>
      </c>
      <c r="E542" s="1" t="n">
        <v>1</v>
      </c>
      <c r="F542" s="1" t="n">
        <v>104.26</v>
      </c>
      <c r="G542" s="1" t="n">
        <v>1.48</v>
      </c>
      <c r="H542" s="1" t="n">
        <v>1.37</v>
      </c>
      <c r="I542" s="1" t="n">
        <v>20.32</v>
      </c>
      <c r="J542" s="1" t="n">
        <v>1107.85</v>
      </c>
      <c r="K542" s="1" t="n">
        <f aca="false">IFERROR(F542/D542,"")</f>
        <v>0.0941102134765537</v>
      </c>
    </row>
    <row r="543" customFormat="false" ht="12.8" hidden="false" customHeight="false" outlineLevel="0" collapsed="false">
      <c r="A543" s="1" t="n">
        <v>542</v>
      </c>
      <c r="B543" s="1" t="n">
        <v>242287</v>
      </c>
      <c r="C543" s="1" t="n">
        <v>1615</v>
      </c>
      <c r="D543" s="1" t="n">
        <v>0</v>
      </c>
      <c r="E543" s="1" t="n">
        <v>22</v>
      </c>
      <c r="F543" s="1" t="n">
        <v>1386.76</v>
      </c>
      <c r="G543" s="1" t="n">
        <v>0.67</v>
      </c>
      <c r="H543" s="1" t="n">
        <v>0</v>
      </c>
      <c r="I543" s="1" t="n">
        <v>0</v>
      </c>
      <c r="J543" s="1" t="n">
        <v>0</v>
      </c>
      <c r="K543" s="1" t="str">
        <f aca="false">IFERROR(F543/D543,"")</f>
        <v/>
      </c>
    </row>
    <row r="544" customFormat="false" ht="12.8" hidden="false" customHeight="false" outlineLevel="0" collapsed="false">
      <c r="A544" s="1" t="n">
        <v>543</v>
      </c>
      <c r="B544" s="1" t="n">
        <v>583</v>
      </c>
      <c r="C544" s="1" t="n">
        <v>20</v>
      </c>
      <c r="D544" s="1" t="n">
        <v>25.58</v>
      </c>
      <c r="E544" s="1" t="n">
        <v>0</v>
      </c>
      <c r="F544" s="1" t="n">
        <v>0</v>
      </c>
      <c r="G544" s="1" t="n">
        <v>3.43</v>
      </c>
      <c r="H544" s="1" t="n">
        <v>1.28</v>
      </c>
      <c r="I544" s="1" t="n">
        <v>43.88</v>
      </c>
      <c r="K544" s="1" t="n">
        <f aca="false">IFERROR(F544/D544,"")</f>
        <v>0</v>
      </c>
    </row>
    <row r="545" customFormat="false" ht="12.8" hidden="false" customHeight="false" outlineLevel="0" collapsed="false">
      <c r="A545" s="1" t="n">
        <v>544</v>
      </c>
      <c r="B545" s="1" t="n">
        <v>66338</v>
      </c>
      <c r="C545" s="1" t="n">
        <v>636</v>
      </c>
      <c r="D545" s="1" t="n">
        <v>862.21</v>
      </c>
      <c r="E545" s="1" t="n">
        <v>1</v>
      </c>
      <c r="F545" s="1" t="n">
        <v>69</v>
      </c>
      <c r="G545" s="1" t="n">
        <v>0.96</v>
      </c>
      <c r="H545" s="1" t="n">
        <v>1.36</v>
      </c>
      <c r="I545" s="1" t="n">
        <v>13</v>
      </c>
      <c r="J545" s="1" t="n">
        <v>862.21</v>
      </c>
      <c r="K545" s="1" t="n">
        <f aca="false">IFERROR(F545/D545,"")</f>
        <v>0.080026907597917</v>
      </c>
    </row>
    <row r="546" customFormat="false" ht="12.8" hidden="false" customHeight="false" outlineLevel="0" collapsed="false">
      <c r="A546" s="1" t="n">
        <v>545</v>
      </c>
      <c r="B546" s="1" t="n">
        <v>150383</v>
      </c>
      <c r="C546" s="1" t="n">
        <v>1425</v>
      </c>
      <c r="D546" s="1" t="n">
        <v>0</v>
      </c>
      <c r="E546" s="1" t="n">
        <v>12</v>
      </c>
      <c r="F546" s="1" t="n">
        <v>794.1</v>
      </c>
      <c r="G546" s="1" t="n">
        <v>0.95</v>
      </c>
      <c r="H546" s="1" t="n">
        <v>0</v>
      </c>
      <c r="I546" s="1" t="n">
        <v>0</v>
      </c>
      <c r="J546" s="1" t="n">
        <v>0</v>
      </c>
      <c r="K546" s="1" t="str">
        <f aca="false">IFERROR(F546/D546,"")</f>
        <v/>
      </c>
    </row>
    <row r="547" customFormat="false" ht="12.8" hidden="false" customHeight="false" outlineLevel="0" collapsed="false">
      <c r="A547" s="1" t="n">
        <v>546</v>
      </c>
      <c r="B547" s="1" t="n">
        <v>214362</v>
      </c>
      <c r="C547" s="1" t="n">
        <v>2365</v>
      </c>
      <c r="D547" s="1" t="n">
        <v>3516.56</v>
      </c>
      <c r="E547" s="1" t="n">
        <v>19</v>
      </c>
      <c r="F547" s="1" t="n">
        <v>1162.1</v>
      </c>
      <c r="G547" s="1" t="n">
        <v>1.1</v>
      </c>
      <c r="H547" s="1" t="n">
        <v>1.49</v>
      </c>
      <c r="I547" s="1" t="n">
        <v>16.4</v>
      </c>
      <c r="J547" s="1" t="n">
        <v>185.08</v>
      </c>
      <c r="K547" s="1" t="n">
        <f aca="false">IFERROR(F547/D547,"")</f>
        <v>0.330464999886252</v>
      </c>
    </row>
    <row r="548" customFormat="false" ht="12.8" hidden="false" customHeight="false" outlineLevel="0" collapsed="false">
      <c r="A548" s="1" t="n">
        <v>547</v>
      </c>
      <c r="B548" s="1" t="n">
        <v>281161</v>
      </c>
      <c r="C548" s="1" t="n">
        <v>2251</v>
      </c>
      <c r="D548" s="1" t="n">
        <v>3368.95</v>
      </c>
      <c r="E548" s="1" t="n">
        <v>27</v>
      </c>
      <c r="F548" s="1" t="n">
        <v>1754.63</v>
      </c>
      <c r="G548" s="1" t="n">
        <v>0.8</v>
      </c>
      <c r="H548" s="1" t="n">
        <v>1.5</v>
      </c>
      <c r="I548" s="1" t="n">
        <v>11.98</v>
      </c>
      <c r="J548" s="1" t="n">
        <v>124.78</v>
      </c>
      <c r="K548" s="1" t="n">
        <f aca="false">IFERROR(F548/D548,"")</f>
        <v>0.52082399560694</v>
      </c>
    </row>
    <row r="549" customFormat="false" ht="12.8" hidden="false" customHeight="false" outlineLevel="0" collapsed="false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K549" s="1" t="str">
        <f aca="false">IFERROR(F549/D549,"")</f>
        <v/>
      </c>
    </row>
    <row r="550" customFormat="false" ht="12.8" hidden="false" customHeight="false" outlineLevel="0" collapsed="false">
      <c r="A550" s="1" t="n">
        <v>549</v>
      </c>
      <c r="B550" s="1" t="n">
        <v>18583</v>
      </c>
      <c r="C550" s="1" t="n">
        <v>332</v>
      </c>
      <c r="D550" s="1" t="n">
        <v>481.16</v>
      </c>
      <c r="E550" s="1" t="n">
        <v>0</v>
      </c>
      <c r="F550" s="1" t="n">
        <v>0</v>
      </c>
      <c r="G550" s="1" t="n">
        <v>1.79</v>
      </c>
      <c r="H550" s="1" t="n">
        <v>1.45</v>
      </c>
      <c r="I550" s="1" t="n">
        <v>25.89</v>
      </c>
      <c r="K550" s="1" t="n">
        <f aca="false">IFERROR(F550/D550,"")</f>
        <v>0</v>
      </c>
    </row>
    <row r="551" customFormat="false" ht="12.8" hidden="false" customHeight="false" outlineLevel="0" collapsed="false">
      <c r="A551" s="1" t="n">
        <v>550</v>
      </c>
      <c r="B551" s="1" t="n">
        <v>176761</v>
      </c>
      <c r="C551" s="1" t="n">
        <v>1337</v>
      </c>
      <c r="D551" s="1" t="n">
        <v>0</v>
      </c>
      <c r="E551" s="1" t="n">
        <v>11</v>
      </c>
      <c r="F551" s="1" t="n">
        <v>891.95</v>
      </c>
      <c r="G551" s="1" t="n">
        <v>0.76</v>
      </c>
      <c r="H551" s="1" t="n">
        <v>0</v>
      </c>
      <c r="I551" s="1" t="n">
        <v>0</v>
      </c>
      <c r="J551" s="1" t="n">
        <v>0</v>
      </c>
      <c r="K551" s="1" t="str">
        <f aca="false">IFERROR(F551/D551,"")</f>
        <v/>
      </c>
    </row>
    <row r="552" customFormat="false" ht="12.8" hidden="false" customHeight="false" outlineLevel="0" collapsed="false">
      <c r="A552" s="1" t="n">
        <v>551</v>
      </c>
      <c r="B552" s="1" t="n">
        <v>306332</v>
      </c>
      <c r="C552" s="1" t="n">
        <v>1746</v>
      </c>
      <c r="D552" s="1" t="n">
        <v>2578.41</v>
      </c>
      <c r="E552" s="1" t="n">
        <v>27</v>
      </c>
      <c r="F552" s="1" t="n">
        <v>1727.25</v>
      </c>
      <c r="G552" s="1" t="n">
        <v>0.57</v>
      </c>
      <c r="H552" s="1" t="n">
        <v>1.48</v>
      </c>
      <c r="I552" s="1" t="n">
        <v>8.42</v>
      </c>
      <c r="J552" s="1" t="n">
        <v>95.5</v>
      </c>
      <c r="K552" s="1" t="n">
        <f aca="false">IFERROR(F552/D552,"")</f>
        <v>0.669889583115176</v>
      </c>
    </row>
    <row r="553" customFormat="false" ht="12.8" hidden="false" customHeight="false" outlineLevel="0" collapsed="false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K553" s="1" t="str">
        <f aca="false">IFERROR(F553/D553,"")</f>
        <v/>
      </c>
    </row>
    <row r="554" customFormat="false" ht="12.8" hidden="false" customHeight="false" outlineLevel="0" collapsed="false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K554" s="1" t="str">
        <f aca="false">IFERROR(F554/D554,"")</f>
        <v/>
      </c>
    </row>
    <row r="555" customFormat="false" ht="12.8" hidden="false" customHeight="false" outlineLevel="0" collapsed="false">
      <c r="A555" s="1" t="n">
        <v>554</v>
      </c>
      <c r="B555" s="1" t="n">
        <v>998566</v>
      </c>
      <c r="C555" s="1" t="n">
        <v>3162</v>
      </c>
      <c r="D555" s="1" t="n">
        <v>4240.43</v>
      </c>
      <c r="E555" s="1" t="n">
        <v>39</v>
      </c>
      <c r="F555" s="1" t="n">
        <v>2472.08</v>
      </c>
      <c r="G555" s="1" t="n">
        <v>0.32</v>
      </c>
      <c r="H555" s="1" t="n">
        <v>1.34</v>
      </c>
      <c r="I555" s="1" t="n">
        <v>4.25</v>
      </c>
      <c r="J555" s="1" t="n">
        <v>108.73</v>
      </c>
      <c r="K555" s="1" t="n">
        <f aca="false">IFERROR(F555/D555,"")</f>
        <v>0.582978613018019</v>
      </c>
    </row>
    <row r="556" customFormat="false" ht="12.8" hidden="false" customHeight="false" outlineLevel="0" collapsed="false">
      <c r="A556" s="1" t="n">
        <v>555</v>
      </c>
      <c r="B556" s="1" t="n">
        <v>42535</v>
      </c>
      <c r="C556" s="1" t="n">
        <v>829</v>
      </c>
      <c r="D556" s="1" t="n">
        <v>0</v>
      </c>
      <c r="E556" s="1" t="n">
        <v>2</v>
      </c>
      <c r="F556" s="1" t="n">
        <v>96.55</v>
      </c>
      <c r="G556" s="1" t="n">
        <v>1.95</v>
      </c>
      <c r="H556" s="1" t="n">
        <v>0</v>
      </c>
      <c r="I556" s="1" t="n">
        <v>0</v>
      </c>
      <c r="J556" s="1" t="n">
        <v>0</v>
      </c>
      <c r="K556" s="1" t="str">
        <f aca="false">IFERROR(F556/D556,"")</f>
        <v/>
      </c>
    </row>
    <row r="557" customFormat="false" ht="12.8" hidden="false" customHeight="false" outlineLevel="0" collapsed="false">
      <c r="A557" s="1" t="n">
        <v>556</v>
      </c>
      <c r="B557" s="1" t="n">
        <v>114087</v>
      </c>
      <c r="C557" s="1" t="n">
        <v>1288</v>
      </c>
      <c r="D557" s="1" t="n">
        <v>1745.81</v>
      </c>
      <c r="E557" s="1" t="n">
        <v>8</v>
      </c>
      <c r="F557" s="1" t="n">
        <v>513.7</v>
      </c>
      <c r="G557" s="1" t="n">
        <v>1.13</v>
      </c>
      <c r="H557" s="1" t="n">
        <v>1.36</v>
      </c>
      <c r="I557" s="1" t="n">
        <v>15.3</v>
      </c>
      <c r="J557" s="1" t="n">
        <v>218.23</v>
      </c>
      <c r="K557" s="1" t="n">
        <f aca="false">IFERROR(F557/D557,"")</f>
        <v>0.294247369415916</v>
      </c>
    </row>
    <row r="558" customFormat="false" ht="12.8" hidden="false" customHeight="false" outlineLevel="0" collapsed="false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K558" s="1" t="str">
        <f aca="false">IFERROR(F558/D558,"")</f>
        <v/>
      </c>
    </row>
    <row r="559" customFormat="false" ht="12.8" hidden="false" customHeight="false" outlineLevel="0" collapsed="false">
      <c r="A559" s="1" t="n">
        <v>558</v>
      </c>
      <c r="B559" s="1" t="n">
        <v>12464</v>
      </c>
      <c r="C559" s="1" t="n">
        <v>664</v>
      </c>
      <c r="D559" s="1" t="n">
        <v>0</v>
      </c>
      <c r="E559" s="1" t="n">
        <v>0</v>
      </c>
      <c r="F559" s="1" t="n">
        <v>0</v>
      </c>
      <c r="G559" s="1" t="n">
        <v>5.33</v>
      </c>
      <c r="H559" s="1" t="n">
        <v>0</v>
      </c>
      <c r="I559" s="1" t="n">
        <v>0</v>
      </c>
      <c r="K559" s="1" t="str">
        <f aca="false">IFERROR(F559/D559,"")</f>
        <v/>
      </c>
    </row>
    <row r="560" customFormat="false" ht="12.8" hidden="false" customHeight="false" outlineLevel="0" collapsed="false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K560" s="1" t="str">
        <f aca="false">IFERROR(F560/D560,"")</f>
        <v/>
      </c>
    </row>
    <row r="561" customFormat="false" ht="12.8" hidden="false" customHeight="false" outlineLevel="0" collapsed="false">
      <c r="A561" s="1" t="n">
        <v>560</v>
      </c>
      <c r="B561" s="1" t="n">
        <v>40843</v>
      </c>
      <c r="C561" s="1" t="n">
        <v>483</v>
      </c>
      <c r="D561" s="1" t="n">
        <v>787.34</v>
      </c>
      <c r="E561" s="1" t="n">
        <v>1</v>
      </c>
      <c r="F561" s="1" t="n">
        <v>95.77</v>
      </c>
      <c r="G561" s="1" t="n">
        <v>1.18</v>
      </c>
      <c r="H561" s="1" t="n">
        <v>1.63</v>
      </c>
      <c r="I561" s="1" t="n">
        <v>19.28</v>
      </c>
      <c r="J561" s="1" t="n">
        <v>787.34</v>
      </c>
      <c r="K561" s="1" t="n">
        <f aca="false">IFERROR(F561/D561,"")</f>
        <v>0.121637412045622</v>
      </c>
    </row>
    <row r="562" customFormat="false" ht="12.8" hidden="false" customHeight="false" outlineLevel="0" collapsed="false">
      <c r="A562" s="1" t="n">
        <v>561</v>
      </c>
      <c r="B562" s="1" t="n">
        <v>9233</v>
      </c>
      <c r="C562" s="1" t="n">
        <v>326</v>
      </c>
      <c r="D562" s="1" t="n">
        <v>0</v>
      </c>
      <c r="E562" s="1" t="n">
        <v>0</v>
      </c>
      <c r="F562" s="1" t="n">
        <v>0</v>
      </c>
      <c r="G562" s="1" t="n">
        <v>3.53</v>
      </c>
      <c r="H562" s="1" t="n">
        <v>0</v>
      </c>
      <c r="I562" s="1" t="n">
        <v>0</v>
      </c>
      <c r="K562" s="1" t="str">
        <f aca="false">IFERROR(F562/D562,"")</f>
        <v/>
      </c>
    </row>
    <row r="563" customFormat="false" ht="12.8" hidden="false" customHeight="false" outlineLevel="0" collapsed="false">
      <c r="A563" s="1" t="n">
        <v>562</v>
      </c>
      <c r="B563" s="1" t="n">
        <v>56160</v>
      </c>
      <c r="C563" s="1" t="n">
        <v>815</v>
      </c>
      <c r="D563" s="1" t="n">
        <v>1081.41</v>
      </c>
      <c r="E563" s="1" t="n">
        <v>4</v>
      </c>
      <c r="F563" s="1" t="n">
        <v>252.94</v>
      </c>
      <c r="G563" s="1" t="n">
        <v>1.45</v>
      </c>
      <c r="H563" s="1" t="n">
        <v>1.33</v>
      </c>
      <c r="I563" s="1" t="n">
        <v>19.26</v>
      </c>
      <c r="J563" s="1" t="n">
        <v>270.35</v>
      </c>
      <c r="K563" s="1" t="n">
        <f aca="false">IFERROR(F563/D563,"")</f>
        <v>0.233898336431141</v>
      </c>
    </row>
    <row r="564" customFormat="false" ht="12.8" hidden="false" customHeight="false" outlineLevel="0" collapsed="false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K564" s="1" t="str">
        <f aca="false">IFERROR(F564/D564,"")</f>
        <v/>
      </c>
    </row>
    <row r="565" customFormat="false" ht="12.8" hidden="false" customHeight="false" outlineLevel="0" collapsed="false">
      <c r="A565" s="1" t="n">
        <v>564</v>
      </c>
      <c r="B565" s="1" t="n">
        <v>202771</v>
      </c>
      <c r="C565" s="1" t="n">
        <v>1273</v>
      </c>
      <c r="D565" s="1" t="n">
        <v>0</v>
      </c>
      <c r="E565" s="1" t="n">
        <v>17</v>
      </c>
      <c r="F565" s="1" t="n">
        <v>1480.17</v>
      </c>
      <c r="G565" s="1" t="n">
        <v>0.63</v>
      </c>
      <c r="H565" s="1" t="n">
        <v>0</v>
      </c>
      <c r="I565" s="1" t="n">
        <v>0</v>
      </c>
      <c r="J565" s="1" t="n">
        <v>0</v>
      </c>
      <c r="K565" s="1" t="str">
        <f aca="false">IFERROR(F565/D565,"")</f>
        <v/>
      </c>
    </row>
    <row r="566" customFormat="false" ht="12.8" hidden="false" customHeight="false" outlineLevel="0" collapsed="false">
      <c r="A566" s="1" t="n">
        <v>565</v>
      </c>
      <c r="B566" s="1" t="n">
        <v>2061</v>
      </c>
      <c r="C566" s="1" t="n">
        <v>38</v>
      </c>
      <c r="D566" s="1" t="n">
        <v>55.44</v>
      </c>
      <c r="E566" s="1" t="n">
        <v>0</v>
      </c>
      <c r="F566" s="1" t="n">
        <v>0</v>
      </c>
      <c r="G566" s="1" t="n">
        <v>1.84</v>
      </c>
      <c r="H566" s="1" t="n">
        <v>1.46</v>
      </c>
      <c r="I566" s="1" t="n">
        <v>26.9</v>
      </c>
      <c r="K566" s="1" t="n">
        <f aca="false">IFERROR(F566/D566,"")</f>
        <v>0</v>
      </c>
    </row>
    <row r="567" customFormat="false" ht="12.8" hidden="false" customHeight="false" outlineLevel="0" collapsed="false">
      <c r="A567" s="1" t="n">
        <v>566</v>
      </c>
      <c r="B567" s="1" t="n">
        <v>1650987</v>
      </c>
      <c r="C567" s="1" t="n">
        <v>6060</v>
      </c>
      <c r="D567" s="1" t="n">
        <v>8239.2</v>
      </c>
      <c r="E567" s="1" t="n">
        <v>85</v>
      </c>
      <c r="F567" s="1" t="n">
        <v>6115.99</v>
      </c>
      <c r="G567" s="1" t="n">
        <v>0.37</v>
      </c>
      <c r="H567" s="1" t="n">
        <v>1.36</v>
      </c>
      <c r="I567" s="1" t="n">
        <v>4.99</v>
      </c>
      <c r="J567" s="1" t="n">
        <v>96.93</v>
      </c>
      <c r="K567" s="1" t="n">
        <f aca="false">IFERROR(F567/D567,"")</f>
        <v>0.74230386445286</v>
      </c>
    </row>
    <row r="568" customFormat="false" ht="12.8" hidden="false" customHeight="false" outlineLevel="0" collapsed="false">
      <c r="A568" s="1" t="n">
        <v>567</v>
      </c>
      <c r="B568" s="1" t="n">
        <v>2978149</v>
      </c>
      <c r="C568" s="1" t="n">
        <v>7719</v>
      </c>
      <c r="D568" s="1" t="n">
        <v>10391.42</v>
      </c>
      <c r="E568" s="1" t="n">
        <v>86</v>
      </c>
      <c r="F568" s="1" t="n">
        <v>6097.74</v>
      </c>
      <c r="G568" s="1" t="n">
        <v>0.26</v>
      </c>
      <c r="H568" s="1" t="n">
        <v>1.35</v>
      </c>
      <c r="I568" s="1" t="n">
        <v>3.49</v>
      </c>
      <c r="J568" s="1" t="n">
        <v>120.83</v>
      </c>
      <c r="K568" s="1" t="n">
        <f aca="false">IFERROR(F568/D568,"")</f>
        <v>0.586805268192413</v>
      </c>
    </row>
    <row r="569" customFormat="false" ht="12.8" hidden="false" customHeight="false" outlineLevel="0" collapsed="false">
      <c r="A569" s="1" t="n">
        <v>568</v>
      </c>
      <c r="B569" s="1" t="n">
        <v>71931</v>
      </c>
      <c r="C569" s="1" t="n">
        <v>409</v>
      </c>
      <c r="D569" s="1" t="n">
        <v>536.2</v>
      </c>
      <c r="E569" s="1" t="n">
        <v>5</v>
      </c>
      <c r="F569" s="1" t="n">
        <v>337.4</v>
      </c>
      <c r="G569" s="1" t="n">
        <v>0.57</v>
      </c>
      <c r="H569" s="1" t="n">
        <v>1.31</v>
      </c>
      <c r="I569" s="1" t="n">
        <v>7.45</v>
      </c>
      <c r="J569" s="1" t="n">
        <v>107.24</v>
      </c>
      <c r="K569" s="1" t="n">
        <f aca="false">IFERROR(F569/D569,"")</f>
        <v>0.629242819843342</v>
      </c>
    </row>
    <row r="570" customFormat="false" ht="12.8" hidden="false" customHeight="false" outlineLevel="0" collapsed="false">
      <c r="A570" s="1" t="n">
        <v>569</v>
      </c>
      <c r="B570" s="1" t="n">
        <v>26775098</v>
      </c>
      <c r="C570" s="1" t="n">
        <v>56331</v>
      </c>
      <c r="D570" s="1" t="n">
        <v>81483.1</v>
      </c>
      <c r="E570" s="1" t="n">
        <v>712</v>
      </c>
      <c r="F570" s="1" t="n">
        <v>54455.4</v>
      </c>
      <c r="G570" s="1" t="n">
        <v>0.21</v>
      </c>
      <c r="H570" s="1" t="n">
        <v>1.45</v>
      </c>
      <c r="I570" s="1" t="n">
        <v>3.04</v>
      </c>
      <c r="J570" s="1" t="n">
        <v>114.44</v>
      </c>
      <c r="K570" s="1" t="n">
        <f aca="false">IFERROR(F570/D570,"")</f>
        <v>0.668302997799544</v>
      </c>
    </row>
    <row r="571" customFormat="false" ht="12.8" hidden="false" customHeight="false" outlineLevel="0" collapsed="false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K571" s="1" t="str">
        <f aca="false">IFERROR(F571/D571,"")</f>
        <v/>
      </c>
    </row>
    <row r="572" customFormat="false" ht="12.8" hidden="false" customHeight="false" outlineLevel="0" collapsed="false">
      <c r="A572" s="1" t="n">
        <v>571</v>
      </c>
      <c r="B572" s="1" t="n">
        <v>1475437</v>
      </c>
      <c r="C572" s="1" t="n">
        <v>6821</v>
      </c>
      <c r="D572" s="1" t="n">
        <v>10111.91</v>
      </c>
      <c r="E572" s="1" t="n">
        <v>91</v>
      </c>
      <c r="F572" s="1" t="n">
        <v>6676.78</v>
      </c>
      <c r="G572" s="1" t="n">
        <v>0.46</v>
      </c>
      <c r="H572" s="1" t="n">
        <v>1.48</v>
      </c>
      <c r="I572" s="1" t="n">
        <v>6.85</v>
      </c>
      <c r="J572" s="1" t="n">
        <v>111.12</v>
      </c>
      <c r="K572" s="1" t="n">
        <f aca="false">IFERROR(F572/D572,"")</f>
        <v>0.660288709056944</v>
      </c>
    </row>
    <row r="573" customFormat="false" ht="12.8" hidden="false" customHeight="false" outlineLevel="0" collapsed="false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K573" s="1" t="str">
        <f aca="false">IFERROR(F573/D573,"")</f>
        <v/>
      </c>
    </row>
    <row r="574" customFormat="false" ht="12.8" hidden="false" customHeight="false" outlineLevel="0" collapsed="false">
      <c r="A574" s="1" t="n">
        <v>573</v>
      </c>
      <c r="B574" s="1" t="n">
        <v>16193</v>
      </c>
      <c r="C574" s="1" t="n">
        <v>275</v>
      </c>
      <c r="D574" s="1" t="n">
        <v>0</v>
      </c>
      <c r="E574" s="1" t="n">
        <v>2</v>
      </c>
      <c r="F574" s="1" t="n">
        <v>333.45</v>
      </c>
      <c r="G574" s="1" t="n">
        <v>1.7</v>
      </c>
      <c r="H574" s="1" t="n">
        <v>0</v>
      </c>
      <c r="I574" s="1" t="n">
        <v>0</v>
      </c>
      <c r="J574" s="1" t="n">
        <v>0</v>
      </c>
      <c r="K574" s="1" t="str">
        <f aca="false">IFERROR(F574/D574,"")</f>
        <v/>
      </c>
    </row>
    <row r="575" customFormat="false" ht="12.8" hidden="false" customHeight="false" outlineLevel="0" collapsed="false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K575" s="1" t="str">
        <f aca="false">IFERROR(F575/D575,"")</f>
        <v/>
      </c>
    </row>
    <row r="576" customFormat="false" ht="12.8" hidden="false" customHeight="false" outlineLevel="0" collapsed="false">
      <c r="A576" s="1" t="n">
        <v>575</v>
      </c>
      <c r="B576" s="1" t="n">
        <v>73520</v>
      </c>
      <c r="C576" s="1" t="n">
        <v>496</v>
      </c>
      <c r="D576" s="1" t="n">
        <v>0</v>
      </c>
      <c r="E576" s="1" t="n">
        <v>2</v>
      </c>
      <c r="F576" s="1" t="n">
        <v>157.58</v>
      </c>
      <c r="G576" s="1" t="n">
        <v>0.67</v>
      </c>
      <c r="H576" s="1" t="n">
        <v>0</v>
      </c>
      <c r="I576" s="1" t="n">
        <v>0</v>
      </c>
      <c r="J576" s="1" t="n">
        <v>0</v>
      </c>
      <c r="K576" s="1" t="str">
        <f aca="false">IFERROR(F576/D576,"")</f>
        <v/>
      </c>
    </row>
    <row r="577" customFormat="false" ht="12.8" hidden="false" customHeight="false" outlineLevel="0" collapsed="false">
      <c r="A577" s="1" t="n">
        <v>576</v>
      </c>
      <c r="B577" s="1" t="n">
        <v>48677</v>
      </c>
      <c r="C577" s="1" t="n">
        <v>1032</v>
      </c>
      <c r="D577" s="1" t="n">
        <v>0</v>
      </c>
      <c r="E577" s="1" t="n">
        <v>2</v>
      </c>
      <c r="F577" s="1" t="n">
        <v>174</v>
      </c>
      <c r="G577" s="1" t="n">
        <v>2.12</v>
      </c>
      <c r="H577" s="1" t="n">
        <v>0</v>
      </c>
      <c r="I577" s="1" t="n">
        <v>0</v>
      </c>
      <c r="J577" s="1" t="n">
        <v>0</v>
      </c>
      <c r="K577" s="1" t="str">
        <f aca="false">IFERROR(F577/D577,"")</f>
        <v/>
      </c>
    </row>
    <row r="578" customFormat="false" ht="12.8" hidden="false" customHeight="false" outlineLevel="0" collapsed="false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K578" s="1" t="str">
        <f aca="false">IFERROR(F578/D578,"")</f>
        <v/>
      </c>
    </row>
    <row r="579" customFormat="false" ht="12.8" hidden="false" customHeight="false" outlineLevel="0" collapsed="false">
      <c r="A579" s="1" t="n">
        <v>578</v>
      </c>
      <c r="B579" s="1" t="n">
        <v>294713</v>
      </c>
      <c r="C579" s="1" t="n">
        <v>1579</v>
      </c>
      <c r="D579" s="1" t="n">
        <v>0</v>
      </c>
      <c r="E579" s="1" t="n">
        <v>18</v>
      </c>
      <c r="F579" s="1" t="n">
        <v>1382.13</v>
      </c>
      <c r="G579" s="1" t="n">
        <v>0.54</v>
      </c>
      <c r="H579" s="1" t="n">
        <v>0</v>
      </c>
      <c r="I579" s="1" t="n">
        <v>0</v>
      </c>
      <c r="J579" s="1" t="n">
        <v>0</v>
      </c>
      <c r="K579" s="1" t="str">
        <f aca="false">IFERROR(F579/D579,"")</f>
        <v/>
      </c>
    </row>
    <row r="580" customFormat="false" ht="12.8" hidden="false" customHeight="false" outlineLevel="0" collapsed="false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K580" s="1" t="str">
        <f aca="false">IFERROR(F580/D580,"")</f>
        <v/>
      </c>
    </row>
    <row r="581" customFormat="false" ht="12.8" hidden="false" customHeight="false" outlineLevel="0" collapsed="false">
      <c r="A581" s="1" t="n">
        <v>580</v>
      </c>
      <c r="B581" s="1" t="n">
        <v>24602</v>
      </c>
      <c r="C581" s="1" t="n">
        <v>282</v>
      </c>
      <c r="D581" s="1" t="n">
        <v>437.32</v>
      </c>
      <c r="E581" s="1" t="n">
        <v>2</v>
      </c>
      <c r="F581" s="1" t="n">
        <v>84.57</v>
      </c>
      <c r="G581" s="1" t="n">
        <v>1.15</v>
      </c>
      <c r="H581" s="1" t="n">
        <v>1.55</v>
      </c>
      <c r="I581" s="1" t="n">
        <v>17.78</v>
      </c>
      <c r="J581" s="1" t="n">
        <v>218.66</v>
      </c>
      <c r="K581" s="1" t="n">
        <f aca="false">IFERROR(F581/D581,"")</f>
        <v>0.193382420195738</v>
      </c>
    </row>
    <row r="582" customFormat="false" ht="12.8" hidden="false" customHeight="false" outlineLevel="0" collapsed="false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K582" s="1" t="str">
        <f aca="false">IFERROR(F582/D582,"")</f>
        <v/>
      </c>
    </row>
    <row r="583" customFormat="false" ht="12.8" hidden="false" customHeight="false" outlineLevel="0" collapsed="false">
      <c r="A583" s="1" t="n">
        <v>582</v>
      </c>
      <c r="B583" s="1" t="n">
        <v>1024</v>
      </c>
      <c r="C583" s="1" t="n">
        <v>41</v>
      </c>
      <c r="D583" s="1" t="n">
        <v>55.19</v>
      </c>
      <c r="E583" s="1" t="n">
        <v>0</v>
      </c>
      <c r="F583" s="1" t="n">
        <v>0</v>
      </c>
      <c r="G583" s="1" t="n">
        <v>4</v>
      </c>
      <c r="H583" s="1" t="n">
        <v>1.35</v>
      </c>
      <c r="I583" s="1" t="n">
        <v>53.9</v>
      </c>
      <c r="K583" s="1" t="n">
        <f aca="false">IFERROR(F583/D583,"")</f>
        <v>0</v>
      </c>
    </row>
    <row r="584" customFormat="false" ht="12.8" hidden="false" customHeight="false" outlineLevel="0" collapsed="false">
      <c r="A584" s="1" t="n">
        <v>583</v>
      </c>
      <c r="B584" s="1" t="n">
        <v>1671444</v>
      </c>
      <c r="C584" s="1" t="n">
        <v>6440</v>
      </c>
      <c r="D584" s="1" t="n">
        <v>0</v>
      </c>
      <c r="E584" s="1" t="n">
        <v>71</v>
      </c>
      <c r="F584" s="1" t="n">
        <v>6087.42</v>
      </c>
      <c r="G584" s="1" t="n">
        <v>0.39</v>
      </c>
      <c r="H584" s="1" t="n">
        <v>0</v>
      </c>
      <c r="I584" s="1" t="n">
        <v>0</v>
      </c>
      <c r="J584" s="1" t="n">
        <v>0</v>
      </c>
      <c r="K584" s="1" t="str">
        <f aca="false">IFERROR(F584/D584,"")</f>
        <v/>
      </c>
    </row>
    <row r="585" customFormat="false" ht="12.8" hidden="false" customHeight="false" outlineLevel="0" collapsed="false">
      <c r="A585" s="1" t="n">
        <v>584</v>
      </c>
      <c r="B585" s="1" t="n">
        <v>13807</v>
      </c>
      <c r="C585" s="1" t="n">
        <v>88</v>
      </c>
      <c r="D585" s="1" t="n">
        <v>126.87</v>
      </c>
      <c r="E585" s="1" t="n">
        <v>1</v>
      </c>
      <c r="F585" s="1" t="n">
        <v>128.2</v>
      </c>
      <c r="G585" s="1" t="n">
        <v>0.64</v>
      </c>
      <c r="H585" s="1" t="n">
        <v>1.44</v>
      </c>
      <c r="I585" s="1" t="n">
        <v>9.19</v>
      </c>
      <c r="J585" s="1" t="n">
        <v>126.87</v>
      </c>
      <c r="K585" s="1" t="n">
        <f aca="false">IFERROR(F585/D585,"")</f>
        <v>1.01048317175061</v>
      </c>
    </row>
    <row r="586" customFormat="false" ht="12.8" hidden="false" customHeight="false" outlineLevel="0" collapsed="false">
      <c r="A586" s="1" t="n">
        <v>585</v>
      </c>
      <c r="B586" s="1" t="n">
        <v>4475</v>
      </c>
      <c r="C586" s="1" t="n">
        <v>63</v>
      </c>
      <c r="D586" s="1" t="n">
        <v>66.59</v>
      </c>
      <c r="E586" s="1" t="n">
        <v>0</v>
      </c>
      <c r="F586" s="1" t="n">
        <v>0</v>
      </c>
      <c r="G586" s="1" t="n">
        <v>1.41</v>
      </c>
      <c r="H586" s="1" t="n">
        <v>1.06</v>
      </c>
      <c r="I586" s="1" t="n">
        <v>14.88</v>
      </c>
      <c r="K586" s="1" t="n">
        <f aca="false">IFERROR(F586/D586,"")</f>
        <v>0</v>
      </c>
    </row>
    <row r="587" customFormat="false" ht="12.8" hidden="false" customHeight="false" outlineLevel="0" collapsed="false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K587" s="1" t="str">
        <f aca="false">IFERROR(F587/D587,"")</f>
        <v/>
      </c>
    </row>
    <row r="588" customFormat="false" ht="12.8" hidden="false" customHeight="false" outlineLevel="0" collapsed="false">
      <c r="A588" s="1" t="n">
        <v>587</v>
      </c>
      <c r="B588" s="1" t="n">
        <v>72706</v>
      </c>
      <c r="C588" s="1" t="n">
        <v>877</v>
      </c>
      <c r="D588" s="1" t="n">
        <v>1191.97</v>
      </c>
      <c r="E588" s="1" t="n">
        <v>6</v>
      </c>
      <c r="F588" s="1" t="n">
        <v>482.79</v>
      </c>
      <c r="G588" s="1" t="n">
        <v>1.21</v>
      </c>
      <c r="H588" s="1" t="n">
        <v>1.36</v>
      </c>
      <c r="I588" s="1" t="n">
        <v>16.39</v>
      </c>
      <c r="J588" s="1" t="n">
        <v>198.66</v>
      </c>
      <c r="K588" s="1" t="n">
        <f aca="false">IFERROR(F588/D588,"")</f>
        <v>0.405035361628229</v>
      </c>
    </row>
    <row r="589" customFormat="false" ht="12.8" hidden="false" customHeight="false" outlineLevel="0" collapsed="false">
      <c r="A589" s="1" t="n">
        <v>588</v>
      </c>
      <c r="B589" s="1" t="n">
        <v>144008</v>
      </c>
      <c r="C589" s="1" t="n">
        <v>967</v>
      </c>
      <c r="D589" s="1" t="n">
        <v>1299.74</v>
      </c>
      <c r="E589" s="1" t="n">
        <v>12</v>
      </c>
      <c r="F589" s="1" t="n">
        <v>825.77</v>
      </c>
      <c r="G589" s="1" t="n">
        <v>0.67</v>
      </c>
      <c r="H589" s="1" t="n">
        <v>1.34</v>
      </c>
      <c r="I589" s="1" t="n">
        <v>9.03</v>
      </c>
      <c r="J589" s="1" t="n">
        <v>108.31</v>
      </c>
      <c r="K589" s="1" t="n">
        <f aca="false">IFERROR(F589/D589,"")</f>
        <v>0.635334759259544</v>
      </c>
    </row>
    <row r="590" customFormat="false" ht="12.8" hidden="false" customHeight="false" outlineLevel="0" collapsed="false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K590" s="1" t="str">
        <f aca="false">IFERROR(F590/D590,"")</f>
        <v/>
      </c>
    </row>
    <row r="591" customFormat="false" ht="12.8" hidden="false" customHeight="false" outlineLevel="0" collapsed="false">
      <c r="A591" s="1" t="n">
        <v>590</v>
      </c>
      <c r="B591" s="1" t="n">
        <v>351936</v>
      </c>
      <c r="C591" s="1" t="n">
        <v>2378</v>
      </c>
      <c r="D591" s="1" t="n">
        <v>3553.82</v>
      </c>
      <c r="E591" s="1" t="n">
        <v>33</v>
      </c>
      <c r="F591" s="1" t="n">
        <v>2649.14</v>
      </c>
      <c r="G591" s="1" t="n">
        <v>0.68</v>
      </c>
      <c r="H591" s="1" t="n">
        <v>1.49</v>
      </c>
      <c r="I591" s="1" t="n">
        <v>10.1</v>
      </c>
      <c r="J591" s="1" t="n">
        <v>107.69</v>
      </c>
      <c r="K591" s="1" t="n">
        <f aca="false">IFERROR(F591/D591,"")</f>
        <v>0.745434490210534</v>
      </c>
    </row>
    <row r="592" customFormat="false" ht="12.8" hidden="false" customHeight="false" outlineLevel="0" collapsed="false">
      <c r="A592" s="1" t="n">
        <v>591</v>
      </c>
      <c r="B592" s="1" t="n">
        <v>100272</v>
      </c>
      <c r="C592" s="1" t="n">
        <v>820</v>
      </c>
      <c r="D592" s="1" t="n">
        <v>0</v>
      </c>
      <c r="E592" s="1" t="n">
        <v>9</v>
      </c>
      <c r="F592" s="1" t="n">
        <v>509.53</v>
      </c>
      <c r="G592" s="1" t="n">
        <v>0.82</v>
      </c>
      <c r="H592" s="1" t="n">
        <v>0</v>
      </c>
      <c r="I592" s="1" t="n">
        <v>0</v>
      </c>
      <c r="J592" s="1" t="n">
        <v>0</v>
      </c>
      <c r="K592" s="1" t="str">
        <f aca="false">IFERROR(F592/D592,"")</f>
        <v/>
      </c>
    </row>
    <row r="593" customFormat="false" ht="12.8" hidden="false" customHeight="false" outlineLevel="0" collapsed="false">
      <c r="A593" s="1" t="n">
        <v>592</v>
      </c>
      <c r="B593" s="1" t="n">
        <v>4332990</v>
      </c>
      <c r="C593" s="1" t="n">
        <v>16505</v>
      </c>
      <c r="D593" s="1" t="n">
        <v>23403.69</v>
      </c>
      <c r="E593" s="1" t="n">
        <v>202</v>
      </c>
      <c r="F593" s="1" t="n">
        <v>14360.49</v>
      </c>
      <c r="G593" s="1" t="n">
        <v>0.38</v>
      </c>
      <c r="H593" s="1" t="n">
        <v>1.42</v>
      </c>
      <c r="I593" s="1" t="n">
        <v>5.4</v>
      </c>
      <c r="J593" s="1" t="n">
        <v>115.86</v>
      </c>
      <c r="K593" s="1" t="n">
        <f aca="false">IFERROR(F593/D593,"")</f>
        <v>0.613599393941725</v>
      </c>
    </row>
    <row r="594" customFormat="false" ht="12.8" hidden="false" customHeight="false" outlineLevel="0" collapsed="false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K594" s="1" t="str">
        <f aca="false">IFERROR(F594/D594,"")</f>
        <v/>
      </c>
    </row>
    <row r="595" customFormat="false" ht="12.8" hidden="false" customHeight="false" outlineLevel="0" collapsed="false">
      <c r="A595" s="1" t="n">
        <v>594</v>
      </c>
      <c r="B595" s="1" t="n">
        <v>2628</v>
      </c>
      <c r="C595" s="1" t="n">
        <v>40</v>
      </c>
      <c r="D595" s="1" t="n">
        <v>37.49</v>
      </c>
      <c r="E595" s="1" t="n">
        <v>0</v>
      </c>
      <c r="F595" s="1" t="n">
        <v>0</v>
      </c>
      <c r="G595" s="1" t="n">
        <v>1.52</v>
      </c>
      <c r="H595" s="1" t="n">
        <v>0.94</v>
      </c>
      <c r="I595" s="1" t="n">
        <v>14.27</v>
      </c>
      <c r="K595" s="1" t="n">
        <f aca="false">IFERROR(F595/D595,"")</f>
        <v>0</v>
      </c>
    </row>
    <row r="596" customFormat="false" ht="12.8" hidden="false" customHeight="false" outlineLevel="0" collapsed="false">
      <c r="A596" s="1" t="n">
        <v>595</v>
      </c>
      <c r="B596" s="1" t="n">
        <v>76851</v>
      </c>
      <c r="C596" s="1" t="n">
        <v>669</v>
      </c>
      <c r="D596" s="1" t="n">
        <v>1086.9</v>
      </c>
      <c r="E596" s="1" t="n">
        <v>6</v>
      </c>
      <c r="F596" s="1" t="n">
        <v>303.61</v>
      </c>
      <c r="G596" s="1" t="n">
        <v>0.87</v>
      </c>
      <c r="H596" s="1" t="n">
        <v>1.62</v>
      </c>
      <c r="I596" s="1" t="n">
        <v>14.14</v>
      </c>
      <c r="J596" s="1" t="n">
        <v>181.15</v>
      </c>
      <c r="K596" s="1" t="n">
        <f aca="false">IFERROR(F596/D596,"")</f>
        <v>0.279335725457724</v>
      </c>
    </row>
    <row r="597" customFormat="false" ht="12.8" hidden="false" customHeight="false" outlineLevel="0" collapsed="false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K597" s="1" t="str">
        <f aca="false">IFERROR(F597/D597,"")</f>
        <v/>
      </c>
    </row>
    <row r="598" customFormat="false" ht="12.8" hidden="false" customHeight="false" outlineLevel="0" collapsed="false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K598" s="1" t="str">
        <f aca="false">IFERROR(F598/D598,"")</f>
        <v/>
      </c>
    </row>
    <row r="599" customFormat="false" ht="12.8" hidden="false" customHeight="false" outlineLevel="0" collapsed="false">
      <c r="A599" s="1" t="n">
        <v>598</v>
      </c>
      <c r="B599" s="1" t="n">
        <v>706580</v>
      </c>
      <c r="C599" s="1" t="n">
        <v>2002</v>
      </c>
      <c r="D599" s="1" t="n">
        <v>2714.25</v>
      </c>
      <c r="E599" s="1" t="n">
        <v>27</v>
      </c>
      <c r="F599" s="1" t="n">
        <v>2600.95</v>
      </c>
      <c r="G599" s="1" t="n">
        <v>0.28</v>
      </c>
      <c r="H599" s="1" t="n">
        <v>1.36</v>
      </c>
      <c r="I599" s="1" t="n">
        <v>3.84</v>
      </c>
      <c r="J599" s="1" t="n">
        <v>100.53</v>
      </c>
      <c r="K599" s="1" t="n">
        <f aca="false">IFERROR(F599/D599,"")</f>
        <v>0.958257345491388</v>
      </c>
    </row>
    <row r="600" customFormat="false" ht="12.8" hidden="false" customHeight="false" outlineLevel="0" collapsed="false">
      <c r="A600" s="1" t="n">
        <v>599</v>
      </c>
      <c r="B600" s="1" t="n">
        <v>540706</v>
      </c>
      <c r="C600" s="1" t="n">
        <v>2590</v>
      </c>
      <c r="D600" s="1" t="n">
        <v>3771.67</v>
      </c>
      <c r="E600" s="1" t="n">
        <v>32</v>
      </c>
      <c r="F600" s="1" t="n">
        <v>2673.74</v>
      </c>
      <c r="G600" s="1" t="n">
        <v>0.48</v>
      </c>
      <c r="H600" s="1" t="n">
        <v>1.46</v>
      </c>
      <c r="I600" s="1" t="n">
        <v>6.98</v>
      </c>
      <c r="J600" s="1" t="n">
        <v>117.86</v>
      </c>
      <c r="K600" s="1" t="n">
        <f aca="false">IFERROR(F600/D600,"")</f>
        <v>0.70890083172706</v>
      </c>
    </row>
    <row r="601" customFormat="false" ht="12.8" hidden="false" customHeight="false" outlineLevel="0" collapsed="false">
      <c r="A601" s="1" t="n">
        <v>600</v>
      </c>
      <c r="B601" s="1" t="n">
        <v>613934</v>
      </c>
      <c r="C601" s="1" t="n">
        <v>3427</v>
      </c>
      <c r="D601" s="1" t="n">
        <v>4841.73</v>
      </c>
      <c r="E601" s="1" t="n">
        <v>41</v>
      </c>
      <c r="F601" s="1" t="n">
        <v>3128.76</v>
      </c>
      <c r="G601" s="1" t="n">
        <v>0.56</v>
      </c>
      <c r="H601" s="1" t="n">
        <v>1.41</v>
      </c>
      <c r="I601" s="1" t="n">
        <v>7.89</v>
      </c>
      <c r="J601" s="1" t="n">
        <v>118.09</v>
      </c>
      <c r="K601" s="1" t="n">
        <f aca="false">IFERROR(F601/D601,"")</f>
        <v>0.646207037567151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601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H39" activeCellId="0" sqref="H3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37"/>
    <col collapsed="false" customWidth="true" hidden="false" outlineLevel="0" max="2" min="2" style="1" width="17.85"/>
    <col collapsed="false" customWidth="true" hidden="false" outlineLevel="0" max="3" min="3" style="1" width="18.68"/>
    <col collapsed="false" customWidth="true" hidden="false" outlineLevel="0" max="4" min="4" style="1" width="18.96"/>
    <col collapsed="false" customWidth="true" hidden="false" outlineLevel="0" max="5" min="5" style="1" width="16.18"/>
    <col collapsed="false" customWidth="true" hidden="false" outlineLevel="0" max="6" min="6" style="1" width="29.4"/>
    <col collapsed="false" customWidth="true" hidden="false" outlineLevel="0" max="7" min="7" style="1" width="27.45"/>
    <col collapsed="false" customWidth="true" hidden="false" outlineLevel="0" max="8" min="8" style="1" width="24.8"/>
    <col collapsed="false" customWidth="true" hidden="false" outlineLevel="0" max="9" min="9" style="1" width="50.82"/>
  </cols>
  <sheetData>
    <row r="1" customFormat="false" ht="15" hidden="false" customHeight="false" outlineLevel="0" collapsed="false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customFormat="false" ht="12.8" hidden="false" customHeight="false" outlineLevel="0" collapsed="false">
      <c r="A2" s="1" t="n">
        <f aca="false">Campaign_data!A2</f>
        <v>1</v>
      </c>
      <c r="B2" s="1" t="n">
        <f aca="false">Campaign_data!D2</f>
        <v>357489.87</v>
      </c>
      <c r="C2" s="1" t="n">
        <f aca="false">Campaign_data!K2</f>
        <v>0.51624609670758</v>
      </c>
      <c r="D2" s="1" t="n">
        <f aca="false">B2</f>
        <v>357489.87</v>
      </c>
      <c r="E2" s="1" t="n">
        <f aca="false">C2</f>
        <v>0.51624609670758</v>
      </c>
      <c r="F2" s="1" t="n">
        <f aca="false">IFERROR(D2*E2,"")</f>
        <v>184552.75</v>
      </c>
      <c r="G2" s="1" t="n">
        <f aca="false">Campaign_data!F2</f>
        <v>184552.75</v>
      </c>
      <c r="I2" s="1" t="s">
        <v>17</v>
      </c>
      <c r="J2" s="1" t="n">
        <v>3240599.18</v>
      </c>
    </row>
    <row r="3" customFormat="false" ht="12.8" hidden="false" customHeight="false" outlineLevel="0" collapsed="false">
      <c r="A3" s="1" t="n">
        <f aca="false">Campaign_data!A3</f>
        <v>2</v>
      </c>
      <c r="B3" s="1" t="n">
        <f aca="false">Campaign_data!D3</f>
        <v>140153.6</v>
      </c>
      <c r="C3" s="1" t="n">
        <f aca="false">Campaign_data!K3</f>
        <v>0.506838283140783</v>
      </c>
      <c r="D3" s="1" t="n">
        <f aca="false">B3</f>
        <v>140153.6</v>
      </c>
      <c r="E3" s="1" t="n">
        <f aca="false">C3</f>
        <v>0.506838283140783</v>
      </c>
      <c r="F3" s="1" t="n">
        <f aca="false">IFERROR(D3*E3,"")</f>
        <v>71035.2100000001</v>
      </c>
      <c r="G3" s="1" t="n">
        <f aca="false">Campaign_data!F3</f>
        <v>71035.21</v>
      </c>
      <c r="I3" s="1" t="s">
        <v>18</v>
      </c>
      <c r="J3" s="1" t="n">
        <f aca="false">SUM(D2:D601)</f>
        <v>3240599.18</v>
      </c>
    </row>
    <row r="4" customFormat="false" ht="12.8" hidden="true" customHeight="false" outlineLevel="0" collapsed="false">
      <c r="A4" s="1" t="n">
        <f aca="false">Campaign_data!A4</f>
        <v>3</v>
      </c>
      <c r="B4" s="1" t="n">
        <f aca="false">Campaign_data!D4</f>
        <v>0</v>
      </c>
      <c r="C4" s="1" t="str">
        <f aca="false">Campaign_data!K4</f>
        <v/>
      </c>
      <c r="D4" s="1" t="n">
        <f aca="false">B4</f>
        <v>0</v>
      </c>
      <c r="E4" s="1" t="str">
        <f aca="false">C4</f>
        <v/>
      </c>
      <c r="F4" s="1" t="str">
        <f aca="false">IFERROR(D4*E4,"")</f>
        <v/>
      </c>
      <c r="G4" s="1" t="n">
        <f aca="false">Campaign_data!F4</f>
        <v>49589.5</v>
      </c>
      <c r="I4" s="1" t="s">
        <v>19</v>
      </c>
      <c r="J4" s="1" t="n">
        <f aca="false">J2-J3</f>
        <v>0</v>
      </c>
    </row>
    <row r="5" customFormat="false" ht="12.8" hidden="false" customHeight="false" outlineLevel="0" collapsed="false">
      <c r="A5" s="1" t="n">
        <f aca="false">Campaign_data!A5</f>
        <v>4</v>
      </c>
      <c r="B5" s="1" t="n">
        <f aca="false">Campaign_data!D5</f>
        <v>32056.78</v>
      </c>
      <c r="C5" s="1" t="n">
        <f aca="false">Campaign_data!K5</f>
        <v>0.49124522175964</v>
      </c>
      <c r="D5" s="1" t="n">
        <f aca="false">B5</f>
        <v>32056.78</v>
      </c>
      <c r="E5" s="1" t="n">
        <f aca="false">C5</f>
        <v>0.49124522175964</v>
      </c>
      <c r="F5" s="1" t="n">
        <f aca="false">IFERROR(D5*E5,"")</f>
        <v>15747.74</v>
      </c>
      <c r="G5" s="1" t="n">
        <f aca="false">Campaign_data!F5</f>
        <v>15747.74</v>
      </c>
      <c r="I5" s="1" t="s">
        <v>20</v>
      </c>
      <c r="J5" s="1" t="n">
        <f aca="false">SUM(G2:G601)</f>
        <v>2524740.59</v>
      </c>
    </row>
    <row r="6" customFormat="false" ht="12.8" hidden="true" customHeight="false" outlineLevel="0" collapsed="false">
      <c r="A6" s="1" t="n">
        <f aca="false">Campaign_data!A6</f>
        <v>5</v>
      </c>
      <c r="B6" s="1" t="n">
        <f aca="false">Campaign_data!D6</f>
        <v>0</v>
      </c>
      <c r="C6" s="1" t="str">
        <f aca="false">Campaign_data!K6</f>
        <v/>
      </c>
      <c r="D6" s="1" t="n">
        <f aca="false">B6</f>
        <v>0</v>
      </c>
      <c r="E6" s="1" t="str">
        <f aca="false">C6</f>
        <v/>
      </c>
      <c r="F6" s="1" t="str">
        <f aca="false">IFERROR(D6*E6,"")</f>
        <v/>
      </c>
      <c r="G6" s="1" t="n">
        <f aca="false">Campaign_data!F6</f>
        <v>56515.28</v>
      </c>
      <c r="I6" s="1" t="s">
        <v>21</v>
      </c>
      <c r="J6" s="1" t="n">
        <f aca="false">J5/J2</f>
        <v>0.779096842825221</v>
      </c>
    </row>
    <row r="7" customFormat="false" ht="12.8" hidden="false" customHeight="false" outlineLevel="0" collapsed="false">
      <c r="A7" s="1" t="n">
        <f aca="false">Campaign_data!A7</f>
        <v>6</v>
      </c>
      <c r="B7" s="1" t="n">
        <f aca="false">Campaign_data!D7</f>
        <v>149718.02</v>
      </c>
      <c r="C7" s="1" t="n">
        <f aca="false">Campaign_data!K7</f>
        <v>0.488410479914175</v>
      </c>
      <c r="D7" s="1" t="n">
        <f aca="false">B7</f>
        <v>149718.02</v>
      </c>
      <c r="E7" s="1" t="n">
        <f aca="false">C7</f>
        <v>0.488410479914175</v>
      </c>
      <c r="F7" s="1" t="n">
        <f aca="false">IFERROR(D7*E7,"")</f>
        <v>73123.8500000001</v>
      </c>
      <c r="G7" s="1" t="n">
        <f aca="false">Campaign_data!F7</f>
        <v>73123.85</v>
      </c>
      <c r="I7" s="1" t="s">
        <v>22</v>
      </c>
      <c r="J7" s="1" t="n">
        <f aca="false">SUM(F2:F601)</f>
        <v>1751987.77039253</v>
      </c>
    </row>
    <row r="8" customFormat="false" ht="12.8" hidden="true" customHeight="false" outlineLevel="0" collapsed="false">
      <c r="A8" s="1" t="n">
        <f aca="false">Campaign_data!A8</f>
        <v>7</v>
      </c>
      <c r="B8" s="1" t="n">
        <f aca="false">Campaign_data!D8</f>
        <v>0</v>
      </c>
      <c r="C8" s="1" t="str">
        <f aca="false">Campaign_data!K8</f>
        <v/>
      </c>
      <c r="D8" s="1" t="n">
        <f aca="false">B8</f>
        <v>0</v>
      </c>
      <c r="E8" s="1" t="str">
        <f aca="false">C8</f>
        <v/>
      </c>
      <c r="F8" s="1" t="str">
        <f aca="false">IFERROR(D8*E8,"")</f>
        <v/>
      </c>
      <c r="G8" s="1" t="n">
        <f aca="false">Campaign_data!F8</f>
        <v>17277.45</v>
      </c>
      <c r="I8" s="1" t="s">
        <v>23</v>
      </c>
      <c r="J8" s="1" t="n">
        <f aca="false">J7/J3</f>
        <v>0.540636985038221</v>
      </c>
    </row>
    <row r="9" customFormat="false" ht="12.8" hidden="true" customHeight="false" outlineLevel="0" collapsed="false">
      <c r="A9" s="1" t="n">
        <f aca="false">Campaign_data!A9</f>
        <v>8</v>
      </c>
      <c r="B9" s="1" t="n">
        <f aca="false">Campaign_data!D9</f>
        <v>0</v>
      </c>
      <c r="C9" s="1" t="str">
        <f aca="false">Campaign_data!K9</f>
        <v/>
      </c>
      <c r="D9" s="1" t="n">
        <f aca="false">B9</f>
        <v>0</v>
      </c>
      <c r="E9" s="1" t="str">
        <f aca="false">C9</f>
        <v/>
      </c>
      <c r="F9" s="1" t="str">
        <f aca="false">IFERROR(D9*E9,"")</f>
        <v/>
      </c>
      <c r="G9" s="1" t="n">
        <f aca="false">Campaign_data!F9</f>
        <v>33664.1</v>
      </c>
    </row>
    <row r="10" customFormat="false" ht="12.8" hidden="true" customHeight="false" outlineLevel="0" collapsed="false">
      <c r="A10" s="1" t="n">
        <f aca="false">Campaign_data!A10</f>
        <v>9</v>
      </c>
      <c r="B10" s="1" t="n">
        <f aca="false">Campaign_data!D10</f>
        <v>0</v>
      </c>
      <c r="C10" s="1" t="str">
        <f aca="false">Campaign_data!K10</f>
        <v/>
      </c>
      <c r="D10" s="1" t="n">
        <f aca="false">B10</f>
        <v>0</v>
      </c>
      <c r="E10" s="1" t="str">
        <f aca="false">C10</f>
        <v/>
      </c>
      <c r="F10" s="1" t="str">
        <f aca="false">IFERROR(D10*E10,"")</f>
        <v/>
      </c>
      <c r="G10" s="1" t="n">
        <f aca="false">Campaign_data!F10</f>
        <v>11297.65</v>
      </c>
    </row>
    <row r="11" customFormat="false" ht="12.8" hidden="true" customHeight="false" outlineLevel="0" collapsed="false">
      <c r="A11" s="1" t="n">
        <f aca="false">Campaign_data!A11</f>
        <v>10</v>
      </c>
      <c r="B11" s="1" t="n">
        <f aca="false">Campaign_data!D11</f>
        <v>0</v>
      </c>
      <c r="C11" s="1" t="str">
        <f aca="false">Campaign_data!K11</f>
        <v/>
      </c>
      <c r="D11" s="1" t="n">
        <f aca="false">B11</f>
        <v>0</v>
      </c>
      <c r="E11" s="1" t="str">
        <f aca="false">C11</f>
        <v/>
      </c>
      <c r="F11" s="1" t="str">
        <f aca="false">IFERROR(D11*E11,"")</f>
        <v/>
      </c>
      <c r="G11" s="1" t="n">
        <f aca="false">Campaign_data!F11</f>
        <v>12381.38</v>
      </c>
    </row>
    <row r="12" customFormat="false" ht="12.8" hidden="true" customHeight="false" outlineLevel="0" collapsed="false">
      <c r="A12" s="1" t="n">
        <f aca="false">Campaign_data!A12</f>
        <v>11</v>
      </c>
      <c r="B12" s="1" t="n">
        <f aca="false">Campaign_data!D12</f>
        <v>0</v>
      </c>
      <c r="C12" s="1" t="str">
        <f aca="false">Campaign_data!K12</f>
        <v/>
      </c>
      <c r="D12" s="1" t="n">
        <f aca="false">B12</f>
        <v>0</v>
      </c>
      <c r="E12" s="1" t="str">
        <f aca="false">C12</f>
        <v/>
      </c>
      <c r="F12" s="1" t="str">
        <f aca="false">IFERROR(D12*E12,"")</f>
        <v/>
      </c>
      <c r="G12" s="1" t="n">
        <f aca="false">Campaign_data!F12</f>
        <v>55927.36</v>
      </c>
    </row>
    <row r="13" customFormat="false" ht="12.8" hidden="false" customHeight="false" outlineLevel="0" collapsed="false">
      <c r="A13" s="1" t="n">
        <f aca="false">Campaign_data!A13</f>
        <v>12</v>
      </c>
      <c r="B13" s="1" t="n">
        <f aca="false">Campaign_data!D13</f>
        <v>61832.66</v>
      </c>
      <c r="C13" s="1" t="n">
        <f aca="false">Campaign_data!K13</f>
        <v>0.61439747214498</v>
      </c>
      <c r="D13" s="1" t="n">
        <f aca="false">B13</f>
        <v>61832.66</v>
      </c>
      <c r="E13" s="1" t="n">
        <f aca="false">C13</f>
        <v>0.61439747214498</v>
      </c>
      <c r="F13" s="1" t="n">
        <f aca="false">IFERROR(D13*E13,"")</f>
        <v>37989.83</v>
      </c>
      <c r="G13" s="1" t="n">
        <f aca="false">Campaign_data!F13</f>
        <v>37989.83</v>
      </c>
    </row>
    <row r="14" customFormat="false" ht="12.8" hidden="false" customHeight="false" outlineLevel="0" collapsed="false">
      <c r="A14" s="1" t="n">
        <f aca="false">Campaign_data!A14</f>
        <v>13</v>
      </c>
      <c r="B14" s="1" t="n">
        <f aca="false">Campaign_data!D14</f>
        <v>143808.6</v>
      </c>
      <c r="C14" s="1" t="n">
        <f aca="false">Campaign_data!K14</f>
        <v>0.516801707269245</v>
      </c>
      <c r="D14" s="1" t="n">
        <f aca="false">B14</f>
        <v>143808.6</v>
      </c>
      <c r="E14" s="1" t="n">
        <f aca="false">C14</f>
        <v>0.516801707269245</v>
      </c>
      <c r="F14" s="1" t="n">
        <f aca="false">IFERROR(D14*E14,"")</f>
        <v>74320.53</v>
      </c>
      <c r="G14" s="1" t="n">
        <f aca="false">Campaign_data!F14</f>
        <v>74320.53</v>
      </c>
    </row>
    <row r="15" customFormat="false" ht="12.8" hidden="true" customHeight="false" outlineLevel="0" collapsed="false">
      <c r="A15" s="1" t="n">
        <f aca="false">Campaign_data!A15</f>
        <v>14</v>
      </c>
      <c r="B15" s="1" t="n">
        <f aca="false">Campaign_data!D15</f>
        <v>0</v>
      </c>
      <c r="C15" s="1" t="str">
        <f aca="false">Campaign_data!K15</f>
        <v/>
      </c>
      <c r="D15" s="1" t="n">
        <f aca="false">B15</f>
        <v>0</v>
      </c>
      <c r="E15" s="1" t="str">
        <f aca="false">C15</f>
        <v/>
      </c>
      <c r="F15" s="1" t="str">
        <f aca="false">IFERROR(D15*E15,"")</f>
        <v/>
      </c>
      <c r="G15" s="1" t="n">
        <f aca="false">Campaign_data!F15</f>
        <v>18505.25</v>
      </c>
    </row>
    <row r="16" customFormat="false" ht="12.8" hidden="true" customHeight="false" outlineLevel="0" collapsed="false">
      <c r="A16" s="1" t="n">
        <f aca="false">Campaign_data!A16</f>
        <v>15</v>
      </c>
      <c r="B16" s="1" t="n">
        <f aca="false">Campaign_data!D16</f>
        <v>0</v>
      </c>
      <c r="C16" s="1" t="str">
        <f aca="false">Campaign_data!K16</f>
        <v/>
      </c>
      <c r="D16" s="1" t="n">
        <f aca="false">B16</f>
        <v>0</v>
      </c>
      <c r="E16" s="1" t="str">
        <f aca="false">C16</f>
        <v/>
      </c>
      <c r="F16" s="1" t="str">
        <f aca="false">IFERROR(D16*E16,"")</f>
        <v/>
      </c>
      <c r="G16" s="1" t="n">
        <f aca="false">Campaign_data!F16</f>
        <v>16429.96</v>
      </c>
    </row>
    <row r="17" customFormat="false" ht="12.8" hidden="false" customHeight="false" outlineLevel="0" collapsed="false">
      <c r="A17" s="1" t="n">
        <f aca="false">Campaign_data!A17</f>
        <v>16</v>
      </c>
      <c r="B17" s="1" t="n">
        <f aca="false">Campaign_data!D17</f>
        <v>22442.93</v>
      </c>
      <c r="C17" s="1" t="n">
        <f aca="false">Campaign_data!K17</f>
        <v>0.513963640219882</v>
      </c>
      <c r="D17" s="1" t="n">
        <f aca="false">B17</f>
        <v>22442.93</v>
      </c>
      <c r="E17" s="1" t="n">
        <f aca="false">C17</f>
        <v>0.513963640219882</v>
      </c>
      <c r="F17" s="1" t="n">
        <f aca="false">IFERROR(D17*E17,"")</f>
        <v>11534.85</v>
      </c>
      <c r="G17" s="1" t="n">
        <f aca="false">Campaign_data!F17</f>
        <v>11534.85</v>
      </c>
    </row>
    <row r="18" customFormat="false" ht="12.8" hidden="false" customHeight="false" outlineLevel="0" collapsed="false">
      <c r="A18" s="1" t="n">
        <f aca="false">Campaign_data!A18</f>
        <v>17</v>
      </c>
      <c r="B18" s="1" t="n">
        <f aca="false">Campaign_data!D18</f>
        <v>52878.13</v>
      </c>
      <c r="C18" s="1" t="n">
        <f aca="false">Campaign_data!K18</f>
        <v>0.504430470593419</v>
      </c>
      <c r="D18" s="1" t="n">
        <f aca="false">B18</f>
        <v>52878.13</v>
      </c>
      <c r="E18" s="1" t="n">
        <f aca="false">C18</f>
        <v>0.504430470593419</v>
      </c>
      <c r="F18" s="1" t="n">
        <f aca="false">IFERROR(D18*E18,"")</f>
        <v>26673.34</v>
      </c>
      <c r="G18" s="1" t="n">
        <f aca="false">Campaign_data!F18</f>
        <v>26673.34</v>
      </c>
    </row>
    <row r="19" customFormat="false" ht="12.8" hidden="false" customHeight="false" outlineLevel="0" collapsed="false">
      <c r="A19" s="1" t="n">
        <f aca="false">Campaign_data!A19</f>
        <v>18</v>
      </c>
      <c r="B19" s="1" t="n">
        <f aca="false">Campaign_data!D19</f>
        <v>5230.07</v>
      </c>
      <c r="C19" s="1" t="n">
        <f aca="false">Campaign_data!K19</f>
        <v>0.47633588078171</v>
      </c>
      <c r="D19" s="1" t="n">
        <f aca="false">B19</f>
        <v>5230.07</v>
      </c>
      <c r="E19" s="1" t="n">
        <f aca="false">C19</f>
        <v>0.47633588078171</v>
      </c>
      <c r="F19" s="1" t="n">
        <f aca="false">IFERROR(D19*E19,"")</f>
        <v>2491.27</v>
      </c>
      <c r="G19" s="1" t="n">
        <f aca="false">Campaign_data!F19</f>
        <v>2491.27</v>
      </c>
    </row>
    <row r="20" customFormat="false" ht="12.8" hidden="false" customHeight="false" outlineLevel="0" collapsed="false">
      <c r="A20" s="1" t="n">
        <f aca="false">Campaign_data!A20</f>
        <v>19</v>
      </c>
      <c r="B20" s="1" t="n">
        <f aca="false">Campaign_data!D20</f>
        <v>123082.42</v>
      </c>
      <c r="C20" s="1" t="n">
        <f aca="false">Campaign_data!K20</f>
        <v>0.528238882530909</v>
      </c>
      <c r="D20" s="1" t="n">
        <f aca="false">B20</f>
        <v>123082.42</v>
      </c>
      <c r="E20" s="1" t="n">
        <f aca="false">C20</f>
        <v>0.528238882530909</v>
      </c>
      <c r="F20" s="1" t="n">
        <f aca="false">IFERROR(D20*E20,"")</f>
        <v>65016.92</v>
      </c>
      <c r="G20" s="1" t="n">
        <f aca="false">Campaign_data!F20</f>
        <v>65016.92</v>
      </c>
    </row>
    <row r="21" customFormat="false" ht="12.8" hidden="false" customHeight="false" outlineLevel="0" collapsed="false">
      <c r="A21" s="1" t="n">
        <f aca="false">Campaign_data!A21</f>
        <v>20</v>
      </c>
      <c r="B21" s="1" t="n">
        <f aca="false">Campaign_data!D21</f>
        <v>25421.79</v>
      </c>
      <c r="C21" s="1" t="n">
        <f aca="false">Campaign_data!K21</f>
        <v>0.420875162606567</v>
      </c>
      <c r="D21" s="1" t="n">
        <f aca="false">B21</f>
        <v>25421.79</v>
      </c>
      <c r="E21" s="1" t="n">
        <f aca="false">C21</f>
        <v>0.420875162606567</v>
      </c>
      <c r="F21" s="1" t="n">
        <f aca="false">IFERROR(D21*E21,"")</f>
        <v>10699.4</v>
      </c>
      <c r="G21" s="1" t="n">
        <f aca="false">Campaign_data!F21</f>
        <v>10699.4</v>
      </c>
    </row>
    <row r="22" customFormat="false" ht="12.8" hidden="false" customHeight="false" outlineLevel="0" collapsed="false">
      <c r="A22" s="1" t="n">
        <f aca="false">Campaign_data!A22</f>
        <v>21</v>
      </c>
      <c r="B22" s="1" t="n">
        <f aca="false">Campaign_data!D22</f>
        <v>8127.04</v>
      </c>
      <c r="C22" s="1" t="n">
        <f aca="false">Campaign_data!K22</f>
        <v>0.444637900145687</v>
      </c>
      <c r="D22" s="1" t="n">
        <f aca="false">B22</f>
        <v>8127.04</v>
      </c>
      <c r="E22" s="1" t="n">
        <f aca="false">C22</f>
        <v>0.444637900145687</v>
      </c>
      <c r="F22" s="1" t="n">
        <f aca="false">IFERROR(D22*E22,"")</f>
        <v>3613.59</v>
      </c>
      <c r="G22" s="1" t="n">
        <f aca="false">Campaign_data!F22</f>
        <v>3613.59</v>
      </c>
    </row>
    <row r="23" customFormat="false" ht="12.8" hidden="false" customHeight="false" outlineLevel="0" collapsed="false">
      <c r="A23" s="1" t="n">
        <f aca="false">Campaign_data!A23</f>
        <v>22</v>
      </c>
      <c r="B23" s="1" t="n">
        <f aca="false">Campaign_data!D23</f>
        <v>8496.38</v>
      </c>
      <c r="C23" s="1" t="n">
        <f aca="false">Campaign_data!K23</f>
        <v>0.600800576245413</v>
      </c>
      <c r="D23" s="1" t="n">
        <f aca="false">B23</f>
        <v>8496.38</v>
      </c>
      <c r="E23" s="1" t="n">
        <f aca="false">C23</f>
        <v>0.600800576245413</v>
      </c>
      <c r="F23" s="1" t="n">
        <f aca="false">IFERROR(D23*E23,"")</f>
        <v>5104.63</v>
      </c>
      <c r="G23" s="1" t="n">
        <f aca="false">Campaign_data!F23</f>
        <v>5104.63</v>
      </c>
    </row>
    <row r="24" customFormat="false" ht="12.8" hidden="true" customHeight="false" outlineLevel="0" collapsed="false">
      <c r="A24" s="1" t="n">
        <f aca="false">Campaign_data!A24</f>
        <v>23</v>
      </c>
      <c r="B24" s="1" t="n">
        <f aca="false">Campaign_data!D24</f>
        <v>0</v>
      </c>
      <c r="C24" s="1" t="str">
        <f aca="false">Campaign_data!K24</f>
        <v/>
      </c>
      <c r="D24" s="1" t="n">
        <f aca="false">B24</f>
        <v>0</v>
      </c>
      <c r="E24" s="1" t="str">
        <f aca="false">C24</f>
        <v/>
      </c>
      <c r="F24" s="1" t="str">
        <f aca="false">IFERROR(D24*E24,"")</f>
        <v/>
      </c>
      <c r="G24" s="1" t="n">
        <f aca="false">Campaign_data!F24</f>
        <v>18331.86</v>
      </c>
    </row>
    <row r="25" customFormat="false" ht="12.8" hidden="false" customHeight="false" outlineLevel="0" collapsed="false">
      <c r="A25" s="1" t="n">
        <f aca="false">Campaign_data!A25</f>
        <v>24</v>
      </c>
      <c r="B25" s="1" t="n">
        <f aca="false">Campaign_data!D25</f>
        <v>17920.15</v>
      </c>
      <c r="C25" s="1" t="n">
        <f aca="false">Campaign_data!K25</f>
        <v>0.614688493120872</v>
      </c>
      <c r="D25" s="1" t="n">
        <f aca="false">B25</f>
        <v>17920.15</v>
      </c>
      <c r="E25" s="1" t="n">
        <f aca="false">C25</f>
        <v>0.614688493120872</v>
      </c>
      <c r="F25" s="1" t="n">
        <f aca="false">IFERROR(D25*E25,"")</f>
        <v>11015.31</v>
      </c>
      <c r="G25" s="1" t="n">
        <f aca="false">Campaign_data!F25</f>
        <v>11015.31</v>
      </c>
    </row>
    <row r="26" customFormat="false" ht="12.8" hidden="false" customHeight="false" outlineLevel="0" collapsed="false">
      <c r="A26" s="1" t="n">
        <f aca="false">Campaign_data!A26</f>
        <v>25</v>
      </c>
      <c r="B26" s="1" t="n">
        <f aca="false">Campaign_data!D26</f>
        <v>23758.53</v>
      </c>
      <c r="C26" s="1" t="n">
        <f aca="false">Campaign_data!K26</f>
        <v>0.633645263406448</v>
      </c>
      <c r="D26" s="1" t="n">
        <f aca="false">B26</f>
        <v>23758.53</v>
      </c>
      <c r="E26" s="1" t="n">
        <f aca="false">C26</f>
        <v>0.633645263406448</v>
      </c>
      <c r="F26" s="1" t="n">
        <f aca="false">IFERROR(D26*E26,"")</f>
        <v>15054.48</v>
      </c>
      <c r="G26" s="1" t="n">
        <f aca="false">Campaign_data!F26</f>
        <v>15054.48</v>
      </c>
    </row>
    <row r="27" customFormat="false" ht="12.8" hidden="false" customHeight="false" outlineLevel="0" collapsed="false">
      <c r="A27" s="1" t="n">
        <f aca="false">Campaign_data!A27</f>
        <v>26</v>
      </c>
      <c r="B27" s="1" t="n">
        <f aca="false">Campaign_data!D27</f>
        <v>46502.59</v>
      </c>
      <c r="C27" s="1" t="n">
        <f aca="false">Campaign_data!K27</f>
        <v>0.645013320763424</v>
      </c>
      <c r="D27" s="1" t="n">
        <f aca="false">B27</f>
        <v>46502.59</v>
      </c>
      <c r="E27" s="1" t="n">
        <f aca="false">C27</f>
        <v>0.645013320763424</v>
      </c>
      <c r="F27" s="1" t="n">
        <f aca="false">IFERROR(D27*E27,"")</f>
        <v>29994.79</v>
      </c>
      <c r="G27" s="1" t="n">
        <f aca="false">Campaign_data!F27</f>
        <v>29994.79</v>
      </c>
    </row>
    <row r="28" customFormat="false" ht="12.8" hidden="false" customHeight="false" outlineLevel="0" collapsed="false">
      <c r="A28" s="1" t="n">
        <f aca="false">Campaign_data!A28</f>
        <v>27</v>
      </c>
      <c r="B28" s="1" t="n">
        <f aca="false">Campaign_data!D28</f>
        <v>17788.47</v>
      </c>
      <c r="C28" s="1" t="n">
        <f aca="false">Campaign_data!K28</f>
        <v>0.477585199851364</v>
      </c>
      <c r="D28" s="1" t="n">
        <f aca="false">B28</f>
        <v>17788.47</v>
      </c>
      <c r="E28" s="1" t="n">
        <f aca="false">C28</f>
        <v>0.477585199851364</v>
      </c>
      <c r="F28" s="1" t="n">
        <f aca="false">IFERROR(D28*E28,"")</f>
        <v>8495.50999999999</v>
      </c>
      <c r="G28" s="1" t="n">
        <f aca="false">Campaign_data!F28</f>
        <v>8495.51</v>
      </c>
    </row>
    <row r="29" customFormat="false" ht="12.8" hidden="false" customHeight="false" outlineLevel="0" collapsed="false">
      <c r="A29" s="1" t="n">
        <f aca="false">Campaign_data!A29</f>
        <v>28</v>
      </c>
      <c r="B29" s="1" t="n">
        <f aca="false">Campaign_data!D29</f>
        <v>19611.9</v>
      </c>
      <c r="C29" s="1" t="n">
        <f aca="false">Campaign_data!K29</f>
        <v>0.475769813225644</v>
      </c>
      <c r="D29" s="1" t="n">
        <f aca="false">B29</f>
        <v>19611.9</v>
      </c>
      <c r="E29" s="1" t="n">
        <f aca="false">C29</f>
        <v>0.475769813225644</v>
      </c>
      <c r="F29" s="1" t="n">
        <f aca="false">IFERROR(D29*E29,"")</f>
        <v>9330.75000000001</v>
      </c>
      <c r="G29" s="1" t="n">
        <f aca="false">Campaign_data!F29</f>
        <v>9330.75</v>
      </c>
    </row>
    <row r="30" customFormat="false" ht="12.8" hidden="false" customHeight="false" outlineLevel="0" collapsed="false">
      <c r="A30" s="1" t="n">
        <f aca="false">Campaign_data!A30</f>
        <v>29</v>
      </c>
      <c r="B30" s="1" t="n">
        <f aca="false">Campaign_data!D30</f>
        <v>13926.8</v>
      </c>
      <c r="C30" s="1" t="n">
        <f aca="false">Campaign_data!K30</f>
        <v>0.416055375247724</v>
      </c>
      <c r="D30" s="1" t="n">
        <f aca="false">B30</f>
        <v>13926.8</v>
      </c>
      <c r="E30" s="1" t="n">
        <f aca="false">C30</f>
        <v>0.416055375247724</v>
      </c>
      <c r="F30" s="1" t="n">
        <f aca="false">IFERROR(D30*E30,"")</f>
        <v>5794.32</v>
      </c>
      <c r="G30" s="1" t="n">
        <f aca="false">Campaign_data!F30</f>
        <v>5794.32</v>
      </c>
    </row>
    <row r="31" customFormat="false" ht="12.8" hidden="true" customHeight="false" outlineLevel="0" collapsed="false">
      <c r="A31" s="1" t="n">
        <f aca="false">Campaign_data!A31</f>
        <v>30</v>
      </c>
      <c r="B31" s="1" t="n">
        <f aca="false">Campaign_data!D31</f>
        <v>0</v>
      </c>
      <c r="C31" s="1" t="str">
        <f aca="false">Campaign_data!K31</f>
        <v/>
      </c>
      <c r="D31" s="1" t="n">
        <f aca="false">B31</f>
        <v>0</v>
      </c>
      <c r="E31" s="1" t="str">
        <f aca="false">C31</f>
        <v/>
      </c>
      <c r="F31" s="1" t="str">
        <f aca="false">IFERROR(D31*E31,"")</f>
        <v/>
      </c>
      <c r="G31" s="1" t="n">
        <f aca="false">Campaign_data!F31</f>
        <v>16334.31</v>
      </c>
    </row>
    <row r="32" customFormat="false" ht="12.8" hidden="false" customHeight="false" outlineLevel="0" collapsed="false">
      <c r="A32" s="1" t="n">
        <f aca="false">Campaign_data!A32</f>
        <v>31</v>
      </c>
      <c r="B32" s="1" t="n">
        <f aca="false">Campaign_data!D32</f>
        <v>66750.49</v>
      </c>
      <c r="C32" s="1" t="n">
        <f aca="false">Campaign_data!K32</f>
        <v>0.528510277602457</v>
      </c>
      <c r="D32" s="1" t="n">
        <f aca="false">B32</f>
        <v>66750.49</v>
      </c>
      <c r="E32" s="1" t="n">
        <f aca="false">C32</f>
        <v>0.528510277602457</v>
      </c>
      <c r="F32" s="1" t="n">
        <f aca="false">IFERROR(D32*E32,"")</f>
        <v>35278.32</v>
      </c>
      <c r="G32" s="1" t="n">
        <f aca="false">Campaign_data!F32</f>
        <v>35278.32</v>
      </c>
    </row>
    <row r="33" customFormat="false" ht="12.8" hidden="true" customHeight="false" outlineLevel="0" collapsed="false">
      <c r="A33" s="1" t="n">
        <f aca="false">Campaign_data!A33</f>
        <v>32</v>
      </c>
      <c r="B33" s="1" t="n">
        <f aca="false">Campaign_data!D33</f>
        <v>0</v>
      </c>
      <c r="C33" s="1" t="str">
        <f aca="false">Campaign_data!K33</f>
        <v/>
      </c>
      <c r="D33" s="1" t="n">
        <f aca="false">B33</f>
        <v>0</v>
      </c>
      <c r="E33" s="1" t="str">
        <f aca="false">C33</f>
        <v/>
      </c>
      <c r="F33" s="1" t="str">
        <f aca="false">IFERROR(D33*E33,"")</f>
        <v/>
      </c>
      <c r="G33" s="1" t="n">
        <f aca="false">Campaign_data!F33</f>
        <v>3171.63</v>
      </c>
    </row>
    <row r="34" customFormat="false" ht="12.8" hidden="false" customHeight="false" outlineLevel="0" collapsed="false">
      <c r="A34" s="1" t="n">
        <f aca="false">Campaign_data!A34</f>
        <v>33</v>
      </c>
      <c r="B34" s="1" t="n">
        <f aca="false">Campaign_data!D34</f>
        <v>15824.06</v>
      </c>
      <c r="C34" s="1" t="n">
        <f aca="false">Campaign_data!K34</f>
        <v>0.399444263987877</v>
      </c>
      <c r="D34" s="1" t="n">
        <f aca="false">B34</f>
        <v>15824.06</v>
      </c>
      <c r="E34" s="1" t="n">
        <f aca="false">C34</f>
        <v>0.399444263987877</v>
      </c>
      <c r="F34" s="1" t="n">
        <f aca="false">IFERROR(D34*E34,"")</f>
        <v>6320.83000000001</v>
      </c>
      <c r="G34" s="1" t="n">
        <f aca="false">Campaign_data!F34</f>
        <v>6320.83</v>
      </c>
    </row>
    <row r="35" customFormat="false" ht="12.8" hidden="false" customHeight="false" outlineLevel="0" collapsed="false">
      <c r="A35" s="1" t="n">
        <f aca="false">Campaign_data!A35</f>
        <v>34</v>
      </c>
      <c r="B35" s="1" t="n">
        <f aca="false">Campaign_data!D35</f>
        <v>3083.67</v>
      </c>
      <c r="C35" s="1" t="n">
        <f aca="false">Campaign_data!K35</f>
        <v>0.532916946365856</v>
      </c>
      <c r="D35" s="1" t="n">
        <f aca="false">B35</f>
        <v>3083.67</v>
      </c>
      <c r="E35" s="1" t="n">
        <f aca="false">C35</f>
        <v>0.532916946365856</v>
      </c>
      <c r="F35" s="1" t="n">
        <f aca="false">IFERROR(D35*E35,"")</f>
        <v>1643.34</v>
      </c>
      <c r="G35" s="1" t="n">
        <f aca="false">Campaign_data!F35</f>
        <v>1643.34</v>
      </c>
    </row>
    <row r="36" customFormat="false" ht="12.8" hidden="false" customHeight="false" outlineLevel="0" collapsed="false">
      <c r="A36" s="1" t="n">
        <f aca="false">Campaign_data!A36</f>
        <v>35</v>
      </c>
      <c r="B36" s="1" t="n">
        <f aca="false">Campaign_data!D36</f>
        <v>28818.33</v>
      </c>
      <c r="C36" s="1" t="n">
        <f aca="false">Campaign_data!K36</f>
        <v>0.485775199326262</v>
      </c>
      <c r="D36" s="1" t="n">
        <f aca="false">B36</f>
        <v>28818.33</v>
      </c>
      <c r="E36" s="1" t="n">
        <f aca="false">C36</f>
        <v>0.485775199326262</v>
      </c>
      <c r="F36" s="1" t="n">
        <f aca="false">IFERROR(D36*E36,"")</f>
        <v>13999.23</v>
      </c>
      <c r="G36" s="1" t="n">
        <f aca="false">Campaign_data!F36</f>
        <v>13999.23</v>
      </c>
    </row>
    <row r="37" customFormat="false" ht="12.8" hidden="true" customHeight="false" outlineLevel="0" collapsed="false">
      <c r="A37" s="1" t="n">
        <f aca="false">Campaign_data!A37</f>
        <v>36</v>
      </c>
      <c r="B37" s="1" t="n">
        <f aca="false">Campaign_data!D37</f>
        <v>0</v>
      </c>
      <c r="C37" s="1" t="str">
        <f aca="false">Campaign_data!K37</f>
        <v/>
      </c>
      <c r="D37" s="1" t="n">
        <f aca="false">B37</f>
        <v>0</v>
      </c>
      <c r="E37" s="1" t="str">
        <f aca="false">C37</f>
        <v/>
      </c>
      <c r="F37" s="1" t="str">
        <f aca="false">IFERROR(D37*E37,"")</f>
        <v/>
      </c>
      <c r="G37" s="1" t="n">
        <f aca="false">Campaign_data!F37</f>
        <v>10009.67</v>
      </c>
    </row>
    <row r="38" customFormat="false" ht="12.8" hidden="true" customHeight="false" outlineLevel="0" collapsed="false">
      <c r="A38" s="1" t="n">
        <f aca="false">Campaign_data!A38</f>
        <v>37</v>
      </c>
      <c r="B38" s="1" t="n">
        <f aca="false">Campaign_data!D38</f>
        <v>0</v>
      </c>
      <c r="C38" s="1" t="str">
        <f aca="false">Campaign_data!K38</f>
        <v/>
      </c>
      <c r="D38" s="1" t="n">
        <f aca="false">B38</f>
        <v>0</v>
      </c>
      <c r="E38" s="1" t="str">
        <f aca="false">C38</f>
        <v/>
      </c>
      <c r="F38" s="1" t="str">
        <f aca="false">IFERROR(D38*E38,"")</f>
        <v/>
      </c>
      <c r="G38" s="1" t="n">
        <f aca="false">Campaign_data!F38</f>
        <v>7936.84</v>
      </c>
    </row>
    <row r="39" customFormat="false" ht="12.8" hidden="false" customHeight="false" outlineLevel="0" collapsed="false">
      <c r="A39" s="1" t="n">
        <f aca="false">Campaign_data!A39</f>
        <v>38</v>
      </c>
      <c r="B39" s="1" t="n">
        <f aca="false">Campaign_data!D39</f>
        <v>4523.54</v>
      </c>
      <c r="C39" s="1" t="n">
        <f aca="false">Campaign_data!K39</f>
        <v>0.517868748811771</v>
      </c>
      <c r="D39" s="1" t="n">
        <f aca="false">B39</f>
        <v>4523.54</v>
      </c>
      <c r="E39" s="1" t="n">
        <f aca="false">C39</f>
        <v>0.517868748811771</v>
      </c>
      <c r="F39" s="1" t="n">
        <f aca="false">IFERROR(D39*E39,"")</f>
        <v>2342.6</v>
      </c>
      <c r="G39" s="1" t="n">
        <f aca="false">Campaign_data!F39</f>
        <v>2342.6</v>
      </c>
    </row>
    <row r="40" customFormat="false" ht="12.8" hidden="false" customHeight="false" outlineLevel="0" collapsed="false">
      <c r="A40" s="1" t="n">
        <f aca="false">Campaign_data!A40</f>
        <v>39</v>
      </c>
      <c r="B40" s="1" t="n">
        <f aca="false">Campaign_data!D40</f>
        <v>10150.59</v>
      </c>
      <c r="C40" s="1" t="n">
        <f aca="false">Campaign_data!K40</f>
        <v>0.492316210190738</v>
      </c>
      <c r="D40" s="1" t="n">
        <f aca="false">B40</f>
        <v>10150.59</v>
      </c>
      <c r="E40" s="1" t="n">
        <f aca="false">C40</f>
        <v>0.492316210190738</v>
      </c>
      <c r="F40" s="1" t="n">
        <f aca="false">IFERROR(D40*E40,"")</f>
        <v>4997.3</v>
      </c>
      <c r="G40" s="1" t="n">
        <f aca="false">Campaign_data!F40</f>
        <v>4997.3</v>
      </c>
    </row>
    <row r="41" customFormat="false" ht="12.8" hidden="true" customHeight="false" outlineLevel="0" collapsed="false">
      <c r="A41" s="1" t="n">
        <f aca="false">Campaign_data!A41</f>
        <v>40</v>
      </c>
      <c r="B41" s="1" t="n">
        <f aca="false">Campaign_data!D41</f>
        <v>0</v>
      </c>
      <c r="C41" s="1" t="str">
        <f aca="false">Campaign_data!K41</f>
        <v/>
      </c>
      <c r="D41" s="1" t="n">
        <f aca="false">B41</f>
        <v>0</v>
      </c>
      <c r="E41" s="1" t="str">
        <f aca="false">C41</f>
        <v/>
      </c>
      <c r="F41" s="1" t="str">
        <f aca="false">IFERROR(D41*E41,"")</f>
        <v/>
      </c>
      <c r="G41" s="1" t="n">
        <f aca="false">Campaign_data!F41</f>
        <v>23807.98</v>
      </c>
    </row>
    <row r="42" customFormat="false" ht="12.8" hidden="false" customHeight="false" outlineLevel="0" collapsed="false">
      <c r="A42" s="1" t="n">
        <f aca="false">Campaign_data!A42</f>
        <v>41</v>
      </c>
      <c r="B42" s="1" t="n">
        <f aca="false">Campaign_data!D42</f>
        <v>5308.87</v>
      </c>
      <c r="C42" s="1" t="n">
        <f aca="false">Campaign_data!K42</f>
        <v>0.395856368681094</v>
      </c>
      <c r="D42" s="1" t="n">
        <f aca="false">B42*95%</f>
        <v>5043.4265</v>
      </c>
      <c r="E42" s="1" t="n">
        <f aca="false">C42</f>
        <v>0.395856368681094</v>
      </c>
      <c r="F42" s="1" t="n">
        <f aca="false">IFERROR(D42*E42,"")</f>
        <v>1996.4725</v>
      </c>
      <c r="G42" s="1" t="n">
        <f aca="false">Campaign_data!F42</f>
        <v>2101.55</v>
      </c>
    </row>
    <row r="43" customFormat="false" ht="12.8" hidden="false" customHeight="false" outlineLevel="0" collapsed="false">
      <c r="A43" s="1" t="n">
        <f aca="false">Campaign_data!A43</f>
        <v>42</v>
      </c>
      <c r="B43" s="1" t="n">
        <f aca="false">Campaign_data!D43</f>
        <v>6317.97</v>
      </c>
      <c r="C43" s="1" t="n">
        <f aca="false">Campaign_data!K43</f>
        <v>0.38404107648501</v>
      </c>
      <c r="D43" s="1" t="n">
        <f aca="false">B43</f>
        <v>6317.97</v>
      </c>
      <c r="E43" s="1" t="n">
        <f aca="false">C43</f>
        <v>0.38404107648501</v>
      </c>
      <c r="F43" s="1" t="n">
        <f aca="false">IFERROR(D43*E43,"")</f>
        <v>2426.36</v>
      </c>
      <c r="G43" s="1" t="n">
        <f aca="false">Campaign_data!F43</f>
        <v>2426.36</v>
      </c>
      <c r="I43" s="1" t="s">
        <v>24</v>
      </c>
      <c r="J43" s="0" t="n">
        <f aca="false">C42</f>
        <v>0.395856368681094</v>
      </c>
      <c r="K43" s="0" t="s">
        <v>25</v>
      </c>
    </row>
    <row r="44" customFormat="false" ht="12.8" hidden="true" customHeight="false" outlineLevel="0" collapsed="false">
      <c r="A44" s="1" t="n">
        <f aca="false">Campaign_data!A44</f>
        <v>43</v>
      </c>
      <c r="B44" s="1" t="n">
        <f aca="false">Campaign_data!D44</f>
        <v>0</v>
      </c>
      <c r="C44" s="1" t="str">
        <f aca="false">Campaign_data!K44</f>
        <v/>
      </c>
      <c r="D44" s="1" t="n">
        <f aca="false">B44</f>
        <v>0</v>
      </c>
      <c r="E44" s="1" t="str">
        <f aca="false">C44</f>
        <v/>
      </c>
      <c r="F44" s="1" t="str">
        <f aca="false">IFERROR(D44*E44,"")</f>
        <v/>
      </c>
      <c r="G44" s="1" t="n">
        <f aca="false">Campaign_data!F44</f>
        <v>21508.91</v>
      </c>
      <c r="I44" s="1" t="s">
        <v>26</v>
      </c>
      <c r="J44" s="0" t="n">
        <f aca="false">C247</f>
        <v>0.362428824066696</v>
      </c>
    </row>
    <row r="45" customFormat="false" ht="12.8" hidden="true" customHeight="false" outlineLevel="0" collapsed="false">
      <c r="A45" s="1" t="n">
        <f aca="false">Campaign_data!A45</f>
        <v>44</v>
      </c>
      <c r="B45" s="1" t="n">
        <f aca="false">Campaign_data!D45</f>
        <v>0</v>
      </c>
      <c r="C45" s="1" t="str">
        <f aca="false">Campaign_data!K45</f>
        <v/>
      </c>
      <c r="D45" s="1" t="n">
        <f aca="false">B45</f>
        <v>0</v>
      </c>
      <c r="E45" s="1" t="str">
        <f aca="false">C45</f>
        <v/>
      </c>
      <c r="F45" s="1" t="str">
        <f aca="false">IFERROR(D45*E45,"")</f>
        <v/>
      </c>
      <c r="G45" s="1" t="n">
        <f aca="false">Campaign_data!F45</f>
        <v>31213.2</v>
      </c>
    </row>
    <row r="46" customFormat="false" ht="12.8" hidden="true" customHeight="false" outlineLevel="0" collapsed="false">
      <c r="A46" s="1" t="n">
        <f aca="false">Campaign_data!A46</f>
        <v>45</v>
      </c>
      <c r="B46" s="1" t="n">
        <f aca="false">Campaign_data!D46</f>
        <v>0</v>
      </c>
      <c r="C46" s="1" t="str">
        <f aca="false">Campaign_data!K46</f>
        <v/>
      </c>
      <c r="D46" s="1" t="n">
        <f aca="false">B46</f>
        <v>0</v>
      </c>
      <c r="E46" s="1" t="str">
        <f aca="false">C46</f>
        <v/>
      </c>
      <c r="F46" s="1" t="str">
        <f aca="false">IFERROR(D46*E46,"")</f>
        <v/>
      </c>
      <c r="G46" s="1" t="n">
        <f aca="false">Campaign_data!F46</f>
        <v>6604.33</v>
      </c>
    </row>
    <row r="47" customFormat="false" ht="12.8" hidden="true" customHeight="false" outlineLevel="0" collapsed="false">
      <c r="A47" s="1" t="n">
        <f aca="false">Campaign_data!A47</f>
        <v>46</v>
      </c>
      <c r="B47" s="1" t="n">
        <f aca="false">Campaign_data!D47</f>
        <v>0</v>
      </c>
      <c r="C47" s="1" t="str">
        <f aca="false">Campaign_data!K47</f>
        <v/>
      </c>
      <c r="D47" s="1" t="n">
        <f aca="false">B47</f>
        <v>0</v>
      </c>
      <c r="E47" s="1" t="str">
        <f aca="false">C47</f>
        <v/>
      </c>
      <c r="F47" s="1" t="str">
        <f aca="false">IFERROR(D47*E47,"")</f>
        <v/>
      </c>
      <c r="G47" s="1" t="n">
        <f aca="false">Campaign_data!F47</f>
        <v>14535.19</v>
      </c>
    </row>
    <row r="48" customFormat="false" ht="12.8" hidden="false" customHeight="false" outlineLevel="0" collapsed="false">
      <c r="A48" s="1" t="n">
        <f aca="false">Campaign_data!A48</f>
        <v>47</v>
      </c>
      <c r="B48" s="1" t="n">
        <f aca="false">Campaign_data!D48</f>
        <v>10353.45</v>
      </c>
      <c r="C48" s="1" t="n">
        <f aca="false">Campaign_data!K48</f>
        <v>0.358859124253268</v>
      </c>
      <c r="D48" s="1" t="n">
        <f aca="false">B48</f>
        <v>10353.45</v>
      </c>
      <c r="E48" s="1" t="n">
        <f aca="false">C48</f>
        <v>0.358859124253268</v>
      </c>
      <c r="F48" s="1" t="n">
        <f aca="false">IFERROR(D48*E48,"")</f>
        <v>3715.43</v>
      </c>
      <c r="G48" s="1" t="n">
        <f aca="false">Campaign_data!F48</f>
        <v>3715.43</v>
      </c>
      <c r="I48" s="1" t="s">
        <v>26</v>
      </c>
      <c r="J48" s="0" t="n">
        <f aca="false">C199</f>
        <v>3.23518146999818</v>
      </c>
      <c r="K48" s="0" t="s">
        <v>27</v>
      </c>
    </row>
    <row r="49" customFormat="false" ht="12.8" hidden="false" customHeight="false" outlineLevel="0" collapsed="false">
      <c r="A49" s="1" t="n">
        <f aca="false">Campaign_data!A49</f>
        <v>48</v>
      </c>
      <c r="B49" s="1" t="n">
        <f aca="false">Campaign_data!D49</f>
        <v>28098.99</v>
      </c>
      <c r="C49" s="1" t="n">
        <f aca="false">Campaign_data!K49</f>
        <v>0.572812759462173</v>
      </c>
      <c r="D49" s="1" t="n">
        <f aca="false">B49</f>
        <v>28098.99</v>
      </c>
      <c r="E49" s="1" t="n">
        <f aca="false">C49</f>
        <v>0.572812759462173</v>
      </c>
      <c r="F49" s="1" t="n">
        <f aca="false">IFERROR(D49*E49,"")</f>
        <v>16095.46</v>
      </c>
      <c r="G49" s="1" t="n">
        <f aca="false">Campaign_data!F49</f>
        <v>16095.46</v>
      </c>
    </row>
    <row r="50" customFormat="false" ht="12.8" hidden="false" customHeight="false" outlineLevel="0" collapsed="false">
      <c r="A50" s="1" t="n">
        <f aca="false">Campaign_data!A50</f>
        <v>49</v>
      </c>
      <c r="B50" s="1" t="n">
        <f aca="false">Campaign_data!D50</f>
        <v>15451.23</v>
      </c>
      <c r="C50" s="1" t="n">
        <f aca="false">Campaign_data!K50</f>
        <v>0.511773496349482</v>
      </c>
      <c r="D50" s="1" t="n">
        <f aca="false">B50</f>
        <v>15451.23</v>
      </c>
      <c r="E50" s="1" t="n">
        <f aca="false">C50</f>
        <v>0.511773496349482</v>
      </c>
      <c r="F50" s="1" t="n">
        <f aca="false">IFERROR(D50*E50,"")</f>
        <v>7907.53000000001</v>
      </c>
      <c r="G50" s="1" t="n">
        <f aca="false">Campaign_data!F50</f>
        <v>7907.53</v>
      </c>
      <c r="I50" s="1" t="s">
        <v>28</v>
      </c>
      <c r="J50" s="0" t="s">
        <v>29</v>
      </c>
    </row>
    <row r="51" customFormat="false" ht="12.8" hidden="true" customHeight="false" outlineLevel="0" collapsed="false">
      <c r="A51" s="1" t="n">
        <f aca="false">Campaign_data!A51</f>
        <v>50</v>
      </c>
      <c r="B51" s="1" t="n">
        <f aca="false">Campaign_data!D51</f>
        <v>0</v>
      </c>
      <c r="C51" s="1" t="str">
        <f aca="false">Campaign_data!K51</f>
        <v/>
      </c>
      <c r="D51" s="1" t="n">
        <f aca="false">B51</f>
        <v>0</v>
      </c>
      <c r="E51" s="1" t="str">
        <f aca="false">C51</f>
        <v/>
      </c>
      <c r="F51" s="1" t="str">
        <f aca="false">IFERROR(D51*E51,"")</f>
        <v/>
      </c>
      <c r="G51" s="1" t="n">
        <f aca="false">Campaign_data!F51</f>
        <v>408.34</v>
      </c>
    </row>
    <row r="52" customFormat="false" ht="12.8" hidden="false" customHeight="false" outlineLevel="0" collapsed="false">
      <c r="A52" s="1" t="n">
        <f aca="false">Campaign_data!A52</f>
        <v>51</v>
      </c>
      <c r="B52" s="1" t="n">
        <f aca="false">Campaign_data!D52</f>
        <v>3496.2</v>
      </c>
      <c r="C52" s="1" t="n">
        <f aca="false">Campaign_data!K52</f>
        <v>0.22922601681826</v>
      </c>
      <c r="D52" s="1" t="n">
        <f aca="false">B52</f>
        <v>3496.2</v>
      </c>
      <c r="E52" s="1" t="n">
        <f aca="false">C52</f>
        <v>0.22922601681826</v>
      </c>
      <c r="F52" s="1" t="n">
        <f aca="false">IFERROR(D52*E52,"")</f>
        <v>801.420000000001</v>
      </c>
      <c r="G52" s="1" t="n">
        <f aca="false">Campaign_data!F52</f>
        <v>801.42</v>
      </c>
    </row>
    <row r="53" customFormat="false" ht="12.8" hidden="false" customHeight="false" outlineLevel="0" collapsed="false">
      <c r="A53" s="1" t="n">
        <f aca="false">Campaign_data!A53</f>
        <v>52</v>
      </c>
      <c r="B53" s="1" t="n">
        <f aca="false">Campaign_data!D53</f>
        <v>28820.82</v>
      </c>
      <c r="C53" s="1" t="n">
        <f aca="false">Campaign_data!K53</f>
        <v>0.584708554440852</v>
      </c>
      <c r="D53" s="1" t="n">
        <f aca="false">B53</f>
        <v>28820.82</v>
      </c>
      <c r="E53" s="1" t="n">
        <f aca="false">C53</f>
        <v>0.584708554440852</v>
      </c>
      <c r="F53" s="1" t="n">
        <f aca="false">IFERROR(D53*E53,"")</f>
        <v>16851.78</v>
      </c>
      <c r="G53" s="1" t="n">
        <f aca="false">Campaign_data!F53</f>
        <v>16851.78</v>
      </c>
    </row>
    <row r="54" customFormat="false" ht="12.8" hidden="false" customHeight="false" outlineLevel="0" collapsed="false">
      <c r="A54" s="1" t="n">
        <f aca="false">Campaign_data!A54</f>
        <v>53</v>
      </c>
      <c r="B54" s="1" t="n">
        <f aca="false">Campaign_data!D54</f>
        <v>19060.92</v>
      </c>
      <c r="C54" s="1" t="n">
        <f aca="false">Campaign_data!K54</f>
        <v>0.63322809182348</v>
      </c>
      <c r="D54" s="1" t="n">
        <f aca="false">B54</f>
        <v>19060.92</v>
      </c>
      <c r="E54" s="1" t="n">
        <f aca="false">C54</f>
        <v>0.63322809182348</v>
      </c>
      <c r="F54" s="1" t="n">
        <f aca="false">IFERROR(D54*E54,"")</f>
        <v>12069.91</v>
      </c>
      <c r="G54" s="1" t="n">
        <f aca="false">Campaign_data!F54</f>
        <v>12069.91</v>
      </c>
    </row>
    <row r="55" customFormat="false" ht="12.8" hidden="true" customHeight="false" outlineLevel="0" collapsed="false">
      <c r="A55" s="1" t="n">
        <f aca="false">Campaign_data!A55</f>
        <v>54</v>
      </c>
      <c r="B55" s="1" t="n">
        <f aca="false">Campaign_data!D55</f>
        <v>0</v>
      </c>
      <c r="C55" s="1" t="str">
        <f aca="false">Campaign_data!K55</f>
        <v/>
      </c>
      <c r="D55" s="1" t="n">
        <f aca="false">B55</f>
        <v>0</v>
      </c>
      <c r="E55" s="1" t="str">
        <f aca="false">C55</f>
        <v/>
      </c>
      <c r="F55" s="1" t="str">
        <f aca="false">IFERROR(D55*E55,"")</f>
        <v/>
      </c>
      <c r="G55" s="1" t="n">
        <f aca="false">Campaign_data!F55</f>
        <v>6661.04</v>
      </c>
    </row>
    <row r="56" customFormat="false" ht="12.8" hidden="true" customHeight="false" outlineLevel="0" collapsed="false">
      <c r="A56" s="1" t="n">
        <f aca="false">Campaign_data!A56</f>
        <v>55</v>
      </c>
      <c r="B56" s="1" t="n">
        <f aca="false">Campaign_data!D56</f>
        <v>0</v>
      </c>
      <c r="C56" s="1" t="str">
        <f aca="false">Campaign_data!K56</f>
        <v/>
      </c>
      <c r="D56" s="1" t="n">
        <f aca="false">B56</f>
        <v>0</v>
      </c>
      <c r="E56" s="1" t="str">
        <f aca="false">C56</f>
        <v/>
      </c>
      <c r="F56" s="1" t="str">
        <f aca="false">IFERROR(D56*E56,"")</f>
        <v/>
      </c>
      <c r="G56" s="1" t="n">
        <f aca="false">Campaign_data!F56</f>
        <v>3606.15</v>
      </c>
    </row>
    <row r="57" customFormat="false" ht="12.8" hidden="true" customHeight="false" outlineLevel="0" collapsed="false">
      <c r="A57" s="1" t="n">
        <f aca="false">Campaign_data!A57</f>
        <v>56</v>
      </c>
      <c r="B57" s="1" t="n">
        <f aca="false">Campaign_data!D57</f>
        <v>0</v>
      </c>
      <c r="C57" s="1" t="str">
        <f aca="false">Campaign_data!K57</f>
        <v/>
      </c>
      <c r="D57" s="1" t="n">
        <f aca="false">B57</f>
        <v>0</v>
      </c>
      <c r="E57" s="1" t="str">
        <f aca="false">C57</f>
        <v/>
      </c>
      <c r="F57" s="1" t="str">
        <f aca="false">IFERROR(D57*E57,"")</f>
        <v/>
      </c>
      <c r="G57" s="1" t="n">
        <f aca="false">Campaign_data!F57</f>
        <v>5755.97</v>
      </c>
    </row>
    <row r="58" customFormat="false" ht="12.8" hidden="false" customHeight="false" outlineLevel="0" collapsed="false">
      <c r="A58" s="1" t="n">
        <f aca="false">Campaign_data!A58</f>
        <v>57</v>
      </c>
      <c r="B58" s="1" t="n">
        <f aca="false">Campaign_data!D58</f>
        <v>5848.57</v>
      </c>
      <c r="C58" s="1" t="n">
        <f aca="false">Campaign_data!K58</f>
        <v>0.771344106337105</v>
      </c>
      <c r="D58" s="1" t="n">
        <f aca="false">B58</f>
        <v>5848.57</v>
      </c>
      <c r="E58" s="1" t="n">
        <f aca="false">C58</f>
        <v>0.771344106337105</v>
      </c>
      <c r="F58" s="1" t="n">
        <f aca="false">IFERROR(D58*E58,"")</f>
        <v>4511.26</v>
      </c>
      <c r="G58" s="1" t="n">
        <f aca="false">Campaign_data!F58</f>
        <v>4511.26</v>
      </c>
    </row>
    <row r="59" customFormat="false" ht="12.8" hidden="false" customHeight="false" outlineLevel="0" collapsed="false">
      <c r="A59" s="1" t="n">
        <f aca="false">Campaign_data!A59</f>
        <v>58</v>
      </c>
      <c r="B59" s="1" t="n">
        <f aca="false">Campaign_data!D59</f>
        <v>38829.94</v>
      </c>
      <c r="C59" s="1" t="n">
        <f aca="false">Campaign_data!K59</f>
        <v>0.590379227987476</v>
      </c>
      <c r="D59" s="1" t="n">
        <f aca="false">B59</f>
        <v>38829.94</v>
      </c>
      <c r="E59" s="1" t="n">
        <f aca="false">C59</f>
        <v>0.590379227987476</v>
      </c>
      <c r="F59" s="1" t="n">
        <f aca="false">IFERROR(D59*E59,"")</f>
        <v>22924.39</v>
      </c>
      <c r="G59" s="1" t="n">
        <f aca="false">Campaign_data!F59</f>
        <v>22924.39</v>
      </c>
    </row>
    <row r="60" customFormat="false" ht="12.8" hidden="true" customHeight="false" outlineLevel="0" collapsed="false">
      <c r="A60" s="1" t="n">
        <f aca="false">Campaign_data!A60</f>
        <v>59</v>
      </c>
      <c r="B60" s="1" t="n">
        <f aca="false">Campaign_data!D60</f>
        <v>0</v>
      </c>
      <c r="C60" s="1" t="str">
        <f aca="false">Campaign_data!K60</f>
        <v/>
      </c>
      <c r="D60" s="1" t="n">
        <f aca="false">B60</f>
        <v>0</v>
      </c>
      <c r="E60" s="1" t="str">
        <f aca="false">C60</f>
        <v/>
      </c>
      <c r="F60" s="1" t="str">
        <f aca="false">IFERROR(D60*E60,"")</f>
        <v/>
      </c>
      <c r="G60" s="1" t="n">
        <f aca="false">Campaign_data!F60</f>
        <v>293.05</v>
      </c>
    </row>
    <row r="61" customFormat="false" ht="12.8" hidden="false" customHeight="false" outlineLevel="0" collapsed="false">
      <c r="A61" s="1" t="n">
        <f aca="false">Campaign_data!A61</f>
        <v>60</v>
      </c>
      <c r="B61" s="1" t="n">
        <f aca="false">Campaign_data!D61</f>
        <v>10240.7</v>
      </c>
      <c r="C61" s="1" t="n">
        <f aca="false">Campaign_data!K61</f>
        <v>0.482653529543879</v>
      </c>
      <c r="D61" s="1" t="n">
        <f aca="false">B61</f>
        <v>10240.7</v>
      </c>
      <c r="E61" s="1" t="n">
        <f aca="false">C61</f>
        <v>0.482653529543879</v>
      </c>
      <c r="F61" s="1" t="n">
        <f aca="false">IFERROR(D61*E61,"")</f>
        <v>4942.71</v>
      </c>
      <c r="G61" s="1" t="n">
        <f aca="false">Campaign_data!F61</f>
        <v>4942.71</v>
      </c>
    </row>
    <row r="62" customFormat="false" ht="12.8" hidden="false" customHeight="false" outlineLevel="0" collapsed="false">
      <c r="A62" s="1" t="n">
        <f aca="false">Campaign_data!A62</f>
        <v>61</v>
      </c>
      <c r="B62" s="1" t="n">
        <f aca="false">Campaign_data!D62</f>
        <v>4978.68</v>
      </c>
      <c r="C62" s="1" t="n">
        <f aca="false">Campaign_data!K62</f>
        <v>0.608231499112214</v>
      </c>
      <c r="D62" s="1" t="n">
        <f aca="false">B62</f>
        <v>4978.68</v>
      </c>
      <c r="E62" s="1" t="n">
        <f aca="false">C62</f>
        <v>0.608231499112214</v>
      </c>
      <c r="F62" s="1" t="n">
        <f aca="false">IFERROR(D62*E62,"")</f>
        <v>3028.19</v>
      </c>
      <c r="G62" s="1" t="n">
        <f aca="false">Campaign_data!F62</f>
        <v>3028.19</v>
      </c>
    </row>
    <row r="63" customFormat="false" ht="12.8" hidden="false" customHeight="false" outlineLevel="0" collapsed="false">
      <c r="A63" s="1" t="n">
        <f aca="false">Campaign_data!A63</f>
        <v>62</v>
      </c>
      <c r="B63" s="1" t="n">
        <f aca="false">Campaign_data!D63</f>
        <v>273672.36</v>
      </c>
      <c r="C63" s="1" t="n">
        <f aca="false">Campaign_data!K63</f>
        <v>0.620716684724756</v>
      </c>
      <c r="D63" s="1" t="n">
        <f aca="false">B63</f>
        <v>273672.36</v>
      </c>
      <c r="E63" s="1" t="n">
        <f aca="false">C63</f>
        <v>0.620716684724756</v>
      </c>
      <c r="F63" s="1" t="n">
        <f aca="false">IFERROR(D63*E63,"")</f>
        <v>169873</v>
      </c>
      <c r="G63" s="1" t="n">
        <f aca="false">Campaign_data!F63</f>
        <v>169873</v>
      </c>
    </row>
    <row r="64" customFormat="false" ht="12.8" hidden="false" customHeight="false" outlineLevel="0" collapsed="false">
      <c r="A64" s="1" t="n">
        <f aca="false">Campaign_data!A64</f>
        <v>63</v>
      </c>
      <c r="B64" s="1" t="n">
        <f aca="false">Campaign_data!D64</f>
        <v>7256.18</v>
      </c>
      <c r="C64" s="1" t="n">
        <f aca="false">Campaign_data!K64</f>
        <v>0.815491071059428</v>
      </c>
      <c r="D64" s="1" t="n">
        <f aca="false">B64</f>
        <v>7256.18</v>
      </c>
      <c r="E64" s="1" t="n">
        <f aca="false">C64</f>
        <v>0.815491071059428</v>
      </c>
      <c r="F64" s="1" t="n">
        <f aca="false">IFERROR(D64*E64,"")</f>
        <v>5917.35</v>
      </c>
      <c r="G64" s="1" t="n">
        <f aca="false">Campaign_data!F64</f>
        <v>5917.35</v>
      </c>
    </row>
    <row r="65" customFormat="false" ht="12.8" hidden="false" customHeight="false" outlineLevel="0" collapsed="false">
      <c r="A65" s="1" t="n">
        <f aca="false">Campaign_data!A65</f>
        <v>64</v>
      </c>
      <c r="B65" s="1" t="n">
        <f aca="false">Campaign_data!D65</f>
        <v>7093.35</v>
      </c>
      <c r="C65" s="1" t="n">
        <f aca="false">Campaign_data!K65</f>
        <v>0.524653372524971</v>
      </c>
      <c r="D65" s="1" t="n">
        <f aca="false">B65</f>
        <v>7093.35</v>
      </c>
      <c r="E65" s="1" t="n">
        <f aca="false">C65</f>
        <v>0.524653372524971</v>
      </c>
      <c r="F65" s="1" t="n">
        <f aca="false">IFERROR(D65*E65,"")</f>
        <v>3721.55</v>
      </c>
      <c r="G65" s="1" t="n">
        <f aca="false">Campaign_data!F65</f>
        <v>3721.55</v>
      </c>
    </row>
    <row r="66" customFormat="false" ht="12.8" hidden="true" customHeight="false" outlineLevel="0" collapsed="false">
      <c r="A66" s="1" t="n">
        <f aca="false">Campaign_data!A66</f>
        <v>65</v>
      </c>
      <c r="B66" s="1" t="n">
        <f aca="false">Campaign_data!D66</f>
        <v>0</v>
      </c>
      <c r="C66" s="1" t="str">
        <f aca="false">Campaign_data!K66</f>
        <v/>
      </c>
      <c r="D66" s="1" t="n">
        <f aca="false">B66</f>
        <v>0</v>
      </c>
      <c r="E66" s="1" t="str">
        <f aca="false">C66</f>
        <v/>
      </c>
      <c r="F66" s="1" t="str">
        <f aca="false">IFERROR(D66*E66,"")</f>
        <v/>
      </c>
      <c r="G66" s="1" t="n">
        <f aca="false">Campaign_data!F66</f>
        <v>4752.47</v>
      </c>
    </row>
    <row r="67" customFormat="false" ht="12.8" hidden="false" customHeight="false" outlineLevel="0" collapsed="false">
      <c r="A67" s="1" t="n">
        <f aca="false">Campaign_data!A67</f>
        <v>66</v>
      </c>
      <c r="B67" s="1" t="n">
        <f aca="false">Campaign_data!D67</f>
        <v>3941.03</v>
      </c>
      <c r="C67" s="1" t="n">
        <f aca="false">Campaign_data!K67</f>
        <v>0.459846791321051</v>
      </c>
      <c r="D67" s="1" t="n">
        <f aca="false">B67</f>
        <v>3941.03</v>
      </c>
      <c r="E67" s="1" t="n">
        <f aca="false">C67</f>
        <v>0.459846791321051</v>
      </c>
      <c r="F67" s="1" t="n">
        <f aca="false">IFERROR(D67*E67,"")</f>
        <v>1812.27</v>
      </c>
      <c r="G67" s="1" t="n">
        <f aca="false">Campaign_data!F67</f>
        <v>1812.27</v>
      </c>
    </row>
    <row r="68" customFormat="false" ht="12.8" hidden="false" customHeight="false" outlineLevel="0" collapsed="false">
      <c r="A68" s="1" t="n">
        <f aca="false">Campaign_data!A68</f>
        <v>67</v>
      </c>
      <c r="B68" s="1" t="n">
        <f aca="false">Campaign_data!D68</f>
        <v>27441.32</v>
      </c>
      <c r="C68" s="1" t="n">
        <f aca="false">Campaign_data!K68</f>
        <v>0.517086641604704</v>
      </c>
      <c r="D68" s="1" t="n">
        <f aca="false">B68</f>
        <v>27441.32</v>
      </c>
      <c r="E68" s="1" t="n">
        <f aca="false">C68</f>
        <v>0.517086641604704</v>
      </c>
      <c r="F68" s="1" t="n">
        <f aca="false">IFERROR(D68*E68,"")</f>
        <v>14189.54</v>
      </c>
      <c r="G68" s="1" t="n">
        <f aca="false">Campaign_data!F68</f>
        <v>14189.54</v>
      </c>
    </row>
    <row r="69" customFormat="false" ht="12.8" hidden="false" customHeight="false" outlineLevel="0" collapsed="false">
      <c r="A69" s="1" t="n">
        <f aca="false">Campaign_data!A69</f>
        <v>68</v>
      </c>
      <c r="B69" s="1" t="n">
        <f aca="false">Campaign_data!D69</f>
        <v>11654.1</v>
      </c>
      <c r="C69" s="1" t="n">
        <f aca="false">Campaign_data!K69</f>
        <v>0.592524519267897</v>
      </c>
      <c r="D69" s="1" t="n">
        <f aca="false">B69</f>
        <v>11654.1</v>
      </c>
      <c r="E69" s="1" t="n">
        <f aca="false">C69</f>
        <v>0.592524519267897</v>
      </c>
      <c r="F69" s="1" t="n">
        <f aca="false">IFERROR(D69*E69,"")</f>
        <v>6905.34</v>
      </c>
      <c r="G69" s="1" t="n">
        <f aca="false">Campaign_data!F69</f>
        <v>6905.34</v>
      </c>
    </row>
    <row r="70" customFormat="false" ht="12.8" hidden="true" customHeight="false" outlineLevel="0" collapsed="false">
      <c r="A70" s="1" t="n">
        <f aca="false">Campaign_data!A70</f>
        <v>69</v>
      </c>
      <c r="B70" s="1" t="n">
        <f aca="false">Campaign_data!D70</f>
        <v>0</v>
      </c>
      <c r="C70" s="1" t="str">
        <f aca="false">Campaign_data!K70</f>
        <v/>
      </c>
      <c r="D70" s="1" t="n">
        <f aca="false">B70</f>
        <v>0</v>
      </c>
      <c r="E70" s="1" t="str">
        <f aca="false">C70</f>
        <v/>
      </c>
      <c r="F70" s="1" t="str">
        <f aca="false">IFERROR(D70*E70,"")</f>
        <v/>
      </c>
      <c r="G70" s="1" t="n">
        <f aca="false">Campaign_data!F70</f>
        <v>2822.32</v>
      </c>
    </row>
    <row r="71" customFormat="false" ht="12.8" hidden="true" customHeight="false" outlineLevel="0" collapsed="false">
      <c r="A71" s="1" t="n">
        <f aca="false">Campaign_data!A71</f>
        <v>70</v>
      </c>
      <c r="B71" s="1" t="n">
        <f aca="false">Campaign_data!D71</f>
        <v>0</v>
      </c>
      <c r="C71" s="1" t="str">
        <f aca="false">Campaign_data!K71</f>
        <v/>
      </c>
      <c r="D71" s="1" t="n">
        <f aca="false">B71</f>
        <v>0</v>
      </c>
      <c r="E71" s="1" t="str">
        <f aca="false">C71</f>
        <v/>
      </c>
      <c r="F71" s="1" t="str">
        <f aca="false">IFERROR(D71*E71,"")</f>
        <v/>
      </c>
      <c r="G71" s="1" t="n">
        <f aca="false">Campaign_data!F71</f>
        <v>7809.04</v>
      </c>
    </row>
    <row r="72" customFormat="false" ht="12.8" hidden="false" customHeight="false" outlineLevel="0" collapsed="false">
      <c r="A72" s="1" t="n">
        <f aca="false">Campaign_data!A72</f>
        <v>71</v>
      </c>
      <c r="B72" s="1" t="n">
        <f aca="false">Campaign_data!D72</f>
        <v>3192.98</v>
      </c>
      <c r="C72" s="1" t="n">
        <f aca="false">Campaign_data!K72</f>
        <v>0.409964985687352</v>
      </c>
      <c r="D72" s="1" t="n">
        <f aca="false">B72</f>
        <v>3192.98</v>
      </c>
      <c r="E72" s="1" t="n">
        <f aca="false">C72</f>
        <v>0.409964985687352</v>
      </c>
      <c r="F72" s="1" t="n">
        <f aca="false">IFERROR(D72*E72,"")</f>
        <v>1309.01</v>
      </c>
      <c r="G72" s="1" t="n">
        <f aca="false">Campaign_data!F72</f>
        <v>1309.01</v>
      </c>
    </row>
    <row r="73" customFormat="false" ht="12.8" hidden="false" customHeight="false" outlineLevel="0" collapsed="false">
      <c r="A73" s="1" t="n">
        <f aca="false">Campaign_data!A73</f>
        <v>72</v>
      </c>
      <c r="B73" s="1" t="n">
        <f aca="false">Campaign_data!D73</f>
        <v>912</v>
      </c>
      <c r="C73" s="1" t="n">
        <f aca="false">Campaign_data!K73</f>
        <v>0.750975877192982</v>
      </c>
      <c r="D73" s="1" t="n">
        <f aca="false">B73</f>
        <v>912</v>
      </c>
      <c r="E73" s="1" t="n">
        <f aca="false">C73</f>
        <v>0.750975877192982</v>
      </c>
      <c r="F73" s="1" t="n">
        <f aca="false">IFERROR(D73*E73,"")</f>
        <v>684.89</v>
      </c>
      <c r="G73" s="1" t="n">
        <f aca="false">Campaign_data!F73</f>
        <v>684.89</v>
      </c>
    </row>
    <row r="74" customFormat="false" ht="12.8" hidden="true" customHeight="false" outlineLevel="0" collapsed="false">
      <c r="A74" s="1" t="n">
        <f aca="false">Campaign_data!A74</f>
        <v>73</v>
      </c>
      <c r="B74" s="1" t="n">
        <f aca="false">Campaign_data!D74</f>
        <v>0</v>
      </c>
      <c r="C74" s="1" t="str">
        <f aca="false">Campaign_data!K74</f>
        <v/>
      </c>
      <c r="D74" s="1" t="n">
        <f aca="false">B74</f>
        <v>0</v>
      </c>
      <c r="E74" s="1" t="str">
        <f aca="false">C74</f>
        <v/>
      </c>
      <c r="F74" s="1" t="str">
        <f aca="false">IFERROR(D74*E74,"")</f>
        <v/>
      </c>
      <c r="G74" s="1" t="n">
        <f aca="false">Campaign_data!F74</f>
        <v>5905.89</v>
      </c>
    </row>
    <row r="75" customFormat="false" ht="12.8" hidden="false" customHeight="false" outlineLevel="0" collapsed="false">
      <c r="A75" s="1" t="n">
        <f aca="false">Campaign_data!A75</f>
        <v>74</v>
      </c>
      <c r="B75" s="1" t="n">
        <f aca="false">Campaign_data!D75</f>
        <v>8318.74</v>
      </c>
      <c r="C75" s="1" t="n">
        <f aca="false">Campaign_data!K75</f>
        <v>0.591596804323732</v>
      </c>
      <c r="D75" s="1" t="n">
        <f aca="false">B75</f>
        <v>8318.74</v>
      </c>
      <c r="E75" s="1" t="n">
        <f aca="false">C75</f>
        <v>0.591596804323732</v>
      </c>
      <c r="F75" s="1" t="n">
        <f aca="false">IFERROR(D75*E75,"")</f>
        <v>4921.34</v>
      </c>
      <c r="G75" s="1" t="n">
        <f aca="false">Campaign_data!F75</f>
        <v>4921.34</v>
      </c>
    </row>
    <row r="76" customFormat="false" ht="12.8" hidden="false" customHeight="false" outlineLevel="0" collapsed="false">
      <c r="A76" s="1" t="n">
        <f aca="false">Campaign_data!A76</f>
        <v>75</v>
      </c>
      <c r="B76" s="1" t="n">
        <f aca="false">Campaign_data!D76</f>
        <v>6754.99</v>
      </c>
      <c r="C76" s="1" t="n">
        <f aca="false">Campaign_data!K76</f>
        <v>0.474900777055184</v>
      </c>
      <c r="D76" s="1" t="n">
        <f aca="false">B76</f>
        <v>6754.99</v>
      </c>
      <c r="E76" s="1" t="n">
        <f aca="false">C76</f>
        <v>0.474900777055184</v>
      </c>
      <c r="F76" s="1" t="n">
        <f aca="false">IFERROR(D76*E76,"")</f>
        <v>3207.95</v>
      </c>
      <c r="G76" s="1" t="n">
        <f aca="false">Campaign_data!F76</f>
        <v>3207.95</v>
      </c>
    </row>
    <row r="77" customFormat="false" ht="12.8" hidden="false" customHeight="false" outlineLevel="0" collapsed="false">
      <c r="A77" s="1" t="n">
        <f aca="false">Campaign_data!A77</f>
        <v>76</v>
      </c>
      <c r="B77" s="1" t="n">
        <f aca="false">Campaign_data!D77</f>
        <v>4539.81</v>
      </c>
      <c r="C77" s="1" t="n">
        <f aca="false">Campaign_data!K77</f>
        <v>0.472640925501287</v>
      </c>
      <c r="D77" s="1" t="n">
        <f aca="false">B77</f>
        <v>4539.81</v>
      </c>
      <c r="E77" s="1" t="n">
        <f aca="false">C77</f>
        <v>0.472640925501287</v>
      </c>
      <c r="F77" s="1" t="n">
        <f aca="false">IFERROR(D77*E77,"")</f>
        <v>2145.7</v>
      </c>
      <c r="G77" s="1" t="n">
        <f aca="false">Campaign_data!F77</f>
        <v>2145.7</v>
      </c>
    </row>
    <row r="78" customFormat="false" ht="12.8" hidden="true" customHeight="false" outlineLevel="0" collapsed="false">
      <c r="A78" s="1" t="n">
        <f aca="false">Campaign_data!A78</f>
        <v>77</v>
      </c>
      <c r="B78" s="1" t="n">
        <f aca="false">Campaign_data!D78</f>
        <v>0</v>
      </c>
      <c r="C78" s="1" t="str">
        <f aca="false">Campaign_data!K78</f>
        <v/>
      </c>
      <c r="D78" s="1" t="n">
        <f aca="false">B78</f>
        <v>0</v>
      </c>
      <c r="E78" s="1" t="str">
        <f aca="false">C78</f>
        <v/>
      </c>
      <c r="F78" s="1" t="str">
        <f aca="false">IFERROR(D78*E78,"")</f>
        <v/>
      </c>
      <c r="G78" s="1" t="n">
        <f aca="false">Campaign_data!F78</f>
        <v>2139.14</v>
      </c>
    </row>
    <row r="79" customFormat="false" ht="12.8" hidden="true" customHeight="false" outlineLevel="0" collapsed="false">
      <c r="A79" s="1" t="n">
        <f aca="false">Campaign_data!A79</f>
        <v>78</v>
      </c>
      <c r="B79" s="1" t="n">
        <f aca="false">Campaign_data!D79</f>
        <v>0</v>
      </c>
      <c r="C79" s="1" t="str">
        <f aca="false">Campaign_data!K79</f>
        <v/>
      </c>
      <c r="D79" s="1" t="n">
        <f aca="false">B79</f>
        <v>0</v>
      </c>
      <c r="E79" s="1" t="str">
        <f aca="false">C79</f>
        <v/>
      </c>
      <c r="F79" s="1" t="str">
        <f aca="false">IFERROR(D79*E79,"")</f>
        <v/>
      </c>
      <c r="G79" s="1" t="n">
        <f aca="false">Campaign_data!F79</f>
        <v>1524.82</v>
      </c>
    </row>
    <row r="80" customFormat="false" ht="12.8" hidden="false" customHeight="false" outlineLevel="0" collapsed="false">
      <c r="A80" s="1" t="n">
        <f aca="false">Campaign_data!A80</f>
        <v>79</v>
      </c>
      <c r="B80" s="1" t="n">
        <f aca="false">Campaign_data!D80</f>
        <v>27062.64</v>
      </c>
      <c r="C80" s="1" t="n">
        <f aca="false">Campaign_data!K80</f>
        <v>0.76164890047682</v>
      </c>
      <c r="D80" s="1" t="n">
        <f aca="false">B80</f>
        <v>27062.64</v>
      </c>
      <c r="E80" s="1" t="n">
        <f aca="false">C80</f>
        <v>0.76164890047682</v>
      </c>
      <c r="F80" s="1" t="n">
        <f aca="false">IFERROR(D80*E80,"")</f>
        <v>20612.23</v>
      </c>
      <c r="G80" s="1" t="n">
        <f aca="false">Campaign_data!F80</f>
        <v>20612.23</v>
      </c>
    </row>
    <row r="81" customFormat="false" ht="12.8" hidden="false" customHeight="false" outlineLevel="0" collapsed="false">
      <c r="A81" s="1" t="n">
        <f aca="false">Campaign_data!A81</f>
        <v>80</v>
      </c>
      <c r="B81" s="1" t="n">
        <f aca="false">Campaign_data!D81</f>
        <v>22882.86</v>
      </c>
      <c r="C81" s="1" t="n">
        <f aca="false">Campaign_data!K81</f>
        <v>0.622416079108992</v>
      </c>
      <c r="D81" s="1" t="n">
        <f aca="false">B81</f>
        <v>22882.86</v>
      </c>
      <c r="E81" s="1" t="n">
        <f aca="false">C81</f>
        <v>0.622416079108992</v>
      </c>
      <c r="F81" s="1" t="n">
        <f aca="false">IFERROR(D81*E81,"")</f>
        <v>14242.66</v>
      </c>
      <c r="G81" s="1" t="n">
        <f aca="false">Campaign_data!F81</f>
        <v>14242.66</v>
      </c>
    </row>
    <row r="82" customFormat="false" ht="12.8" hidden="true" customHeight="false" outlineLevel="0" collapsed="false">
      <c r="A82" s="1" t="n">
        <f aca="false">Campaign_data!A82</f>
        <v>81</v>
      </c>
      <c r="B82" s="1" t="n">
        <f aca="false">Campaign_data!D82</f>
        <v>0</v>
      </c>
      <c r="C82" s="1" t="str">
        <f aca="false">Campaign_data!K82</f>
        <v/>
      </c>
      <c r="D82" s="1" t="n">
        <f aca="false">B82</f>
        <v>0</v>
      </c>
      <c r="E82" s="1" t="str">
        <f aca="false">C82</f>
        <v/>
      </c>
      <c r="F82" s="1" t="str">
        <f aca="false">IFERROR(D82*E82,"")</f>
        <v/>
      </c>
      <c r="G82" s="1" t="n">
        <f aca="false">Campaign_data!F82</f>
        <v>1776.75</v>
      </c>
    </row>
    <row r="83" customFormat="false" ht="12.8" hidden="true" customHeight="false" outlineLevel="0" collapsed="false">
      <c r="A83" s="1" t="n">
        <f aca="false">Campaign_data!A83</f>
        <v>82</v>
      </c>
      <c r="B83" s="1" t="n">
        <f aca="false">Campaign_data!D83</f>
        <v>0</v>
      </c>
      <c r="C83" s="1" t="str">
        <f aca="false">Campaign_data!K83</f>
        <v/>
      </c>
      <c r="D83" s="1" t="n">
        <f aca="false">B83</f>
        <v>0</v>
      </c>
      <c r="E83" s="1" t="str">
        <f aca="false">C83</f>
        <v/>
      </c>
      <c r="F83" s="1" t="str">
        <f aca="false">IFERROR(D83*E83,"")</f>
        <v/>
      </c>
      <c r="G83" s="1" t="n">
        <f aca="false">Campaign_data!F83</f>
        <v>1462.04</v>
      </c>
    </row>
    <row r="84" customFormat="false" ht="12.8" hidden="false" customHeight="false" outlineLevel="0" collapsed="false">
      <c r="A84" s="1" t="n">
        <f aca="false">Campaign_data!A84</f>
        <v>83</v>
      </c>
      <c r="B84" s="1" t="n">
        <f aca="false">Campaign_data!D84</f>
        <v>3370.64</v>
      </c>
      <c r="C84" s="1" t="n">
        <f aca="false">Campaign_data!K84</f>
        <v>0.465611871929367</v>
      </c>
      <c r="D84" s="1" t="n">
        <f aca="false">B84</f>
        <v>3370.64</v>
      </c>
      <c r="E84" s="1" t="n">
        <f aca="false">C84</f>
        <v>0.465611871929367</v>
      </c>
      <c r="F84" s="1" t="n">
        <f aca="false">IFERROR(D84*E84,"")</f>
        <v>1569.41</v>
      </c>
      <c r="G84" s="1" t="n">
        <f aca="false">Campaign_data!F84</f>
        <v>1569.41</v>
      </c>
    </row>
    <row r="85" customFormat="false" ht="12.8" hidden="false" customHeight="false" outlineLevel="0" collapsed="false">
      <c r="A85" s="1" t="n">
        <f aca="false">Campaign_data!A85</f>
        <v>84</v>
      </c>
      <c r="B85" s="1" t="n">
        <f aca="false">Campaign_data!D85</f>
        <v>3625.18</v>
      </c>
      <c r="C85" s="1" t="n">
        <f aca="false">Campaign_data!K85</f>
        <v>0.533865904589565</v>
      </c>
      <c r="D85" s="1" t="n">
        <f aca="false">B85</f>
        <v>3625.18</v>
      </c>
      <c r="E85" s="1" t="n">
        <f aca="false">C85</f>
        <v>0.533865904589565</v>
      </c>
      <c r="F85" s="1" t="n">
        <f aca="false">IFERROR(D85*E85,"")</f>
        <v>1935.36</v>
      </c>
      <c r="G85" s="1" t="n">
        <f aca="false">Campaign_data!F85</f>
        <v>1935.36</v>
      </c>
    </row>
    <row r="86" customFormat="false" ht="12.8" hidden="true" customHeight="false" outlineLevel="0" collapsed="false">
      <c r="A86" s="1" t="n">
        <f aca="false">Campaign_data!A86</f>
        <v>85</v>
      </c>
      <c r="B86" s="1" t="n">
        <f aca="false">Campaign_data!D86</f>
        <v>0</v>
      </c>
      <c r="C86" s="1" t="str">
        <f aca="false">Campaign_data!K86</f>
        <v/>
      </c>
      <c r="D86" s="1" t="n">
        <f aca="false">B86</f>
        <v>0</v>
      </c>
      <c r="E86" s="1" t="str">
        <f aca="false">C86</f>
        <v/>
      </c>
      <c r="F86" s="1" t="str">
        <f aca="false">IFERROR(D86*E86,"")</f>
        <v/>
      </c>
      <c r="G86" s="1" t="n">
        <f aca="false">Campaign_data!F86</f>
        <v>1092.03</v>
      </c>
    </row>
    <row r="87" customFormat="false" ht="12.8" hidden="false" customHeight="false" outlineLevel="0" collapsed="false">
      <c r="A87" s="1" t="n">
        <f aca="false">Campaign_data!A87</f>
        <v>86</v>
      </c>
      <c r="B87" s="1" t="n">
        <f aca="false">Campaign_data!D87</f>
        <v>3456.27</v>
      </c>
      <c r="C87" s="1" t="n">
        <f aca="false">Campaign_data!K87</f>
        <v>0.551015979654367</v>
      </c>
      <c r="D87" s="1" t="n">
        <f aca="false">B87</f>
        <v>3456.27</v>
      </c>
      <c r="E87" s="1" t="n">
        <f aca="false">C87</f>
        <v>0.551015979654367</v>
      </c>
      <c r="F87" s="1" t="n">
        <f aca="false">IFERROR(D87*E87,"")</f>
        <v>1904.46</v>
      </c>
      <c r="G87" s="1" t="n">
        <f aca="false">Campaign_data!F87</f>
        <v>1904.46</v>
      </c>
    </row>
    <row r="88" customFormat="false" ht="12.8" hidden="false" customHeight="false" outlineLevel="0" collapsed="false">
      <c r="A88" s="1" t="n">
        <f aca="false">Campaign_data!A88</f>
        <v>87</v>
      </c>
      <c r="B88" s="1" t="n">
        <f aca="false">Campaign_data!D88</f>
        <v>2000.18</v>
      </c>
      <c r="C88" s="1" t="n">
        <f aca="false">Campaign_data!K88</f>
        <v>0.570363667269946</v>
      </c>
      <c r="D88" s="1" t="n">
        <f aca="false">B88</f>
        <v>2000.18</v>
      </c>
      <c r="E88" s="1" t="n">
        <f aca="false">C88</f>
        <v>0.570363667269946</v>
      </c>
      <c r="F88" s="1" t="n">
        <f aca="false">IFERROR(D88*E88,"")</f>
        <v>1140.83</v>
      </c>
      <c r="G88" s="1" t="n">
        <f aca="false">Campaign_data!F88</f>
        <v>1140.83</v>
      </c>
    </row>
    <row r="89" customFormat="false" ht="12.8" hidden="true" customHeight="false" outlineLevel="0" collapsed="false">
      <c r="A89" s="1" t="n">
        <f aca="false">Campaign_data!A89</f>
        <v>88</v>
      </c>
      <c r="B89" s="1" t="n">
        <f aca="false">Campaign_data!D89</f>
        <v>0</v>
      </c>
      <c r="C89" s="1" t="str">
        <f aca="false">Campaign_data!K89</f>
        <v/>
      </c>
      <c r="D89" s="1" t="n">
        <f aca="false">B89</f>
        <v>0</v>
      </c>
      <c r="E89" s="1" t="str">
        <f aca="false">C89</f>
        <v/>
      </c>
      <c r="F89" s="1" t="str">
        <f aca="false">IFERROR(D89*E89,"")</f>
        <v/>
      </c>
      <c r="G89" s="1" t="n">
        <f aca="false">Campaign_data!F89</f>
        <v>576.16</v>
      </c>
    </row>
    <row r="90" customFormat="false" ht="12.8" hidden="false" customHeight="false" outlineLevel="0" collapsed="false">
      <c r="A90" s="1" t="n">
        <f aca="false">Campaign_data!A90</f>
        <v>89</v>
      </c>
      <c r="B90" s="1" t="n">
        <f aca="false">Campaign_data!D90</f>
        <v>7291.51</v>
      </c>
      <c r="C90" s="1" t="n">
        <f aca="false">Campaign_data!K90</f>
        <v>0.674795755611663</v>
      </c>
      <c r="D90" s="1" t="n">
        <f aca="false">B90</f>
        <v>7291.51</v>
      </c>
      <c r="E90" s="1" t="n">
        <f aca="false">C90</f>
        <v>0.674795755611663</v>
      </c>
      <c r="F90" s="1" t="n">
        <f aca="false">IFERROR(D90*E90,"")</f>
        <v>4920.28</v>
      </c>
      <c r="G90" s="1" t="n">
        <f aca="false">Campaign_data!F90</f>
        <v>4920.28</v>
      </c>
    </row>
    <row r="91" customFormat="false" ht="12.8" hidden="false" customHeight="false" outlineLevel="0" collapsed="false">
      <c r="A91" s="1" t="n">
        <f aca="false">Campaign_data!A91</f>
        <v>90</v>
      </c>
      <c r="B91" s="1" t="n">
        <f aca="false">Campaign_data!D91</f>
        <v>4233.8</v>
      </c>
      <c r="C91" s="1" t="n">
        <f aca="false">Campaign_data!K91</f>
        <v>0.414136236950257</v>
      </c>
      <c r="D91" s="1" t="n">
        <f aca="false">B91</f>
        <v>4233.8</v>
      </c>
      <c r="E91" s="1" t="n">
        <f aca="false">C91</f>
        <v>0.414136236950257</v>
      </c>
      <c r="F91" s="1" t="n">
        <f aca="false">IFERROR(D91*E91,"")</f>
        <v>1753.37</v>
      </c>
      <c r="G91" s="1" t="n">
        <f aca="false">Campaign_data!F91</f>
        <v>1753.37</v>
      </c>
    </row>
    <row r="92" customFormat="false" ht="12.8" hidden="true" customHeight="false" outlineLevel="0" collapsed="false">
      <c r="A92" s="1" t="n">
        <f aca="false">Campaign_data!A92</f>
        <v>91</v>
      </c>
      <c r="B92" s="1" t="n">
        <f aca="false">Campaign_data!D92</f>
        <v>0</v>
      </c>
      <c r="C92" s="1" t="str">
        <f aca="false">Campaign_data!K92</f>
        <v/>
      </c>
      <c r="D92" s="1" t="n">
        <f aca="false">B92</f>
        <v>0</v>
      </c>
      <c r="E92" s="1" t="str">
        <f aca="false">C92</f>
        <v/>
      </c>
      <c r="F92" s="1" t="str">
        <f aca="false">IFERROR(D92*E92,"")</f>
        <v/>
      </c>
      <c r="G92" s="1" t="n">
        <f aca="false">Campaign_data!F92</f>
        <v>454.38</v>
      </c>
    </row>
    <row r="93" customFormat="false" ht="12.8" hidden="true" customHeight="false" outlineLevel="0" collapsed="false">
      <c r="A93" s="1" t="n">
        <f aca="false">Campaign_data!A93</f>
        <v>92</v>
      </c>
      <c r="B93" s="1" t="n">
        <f aca="false">Campaign_data!D93</f>
        <v>0</v>
      </c>
      <c r="C93" s="1" t="str">
        <f aca="false">Campaign_data!K93</f>
        <v/>
      </c>
      <c r="D93" s="1" t="n">
        <f aca="false">B93</f>
        <v>0</v>
      </c>
      <c r="E93" s="1" t="str">
        <f aca="false">C93</f>
        <v/>
      </c>
      <c r="F93" s="1" t="str">
        <f aca="false">IFERROR(D93*E93,"")</f>
        <v/>
      </c>
      <c r="G93" s="1" t="n">
        <f aca="false">Campaign_data!F93</f>
        <v>7660.15</v>
      </c>
    </row>
    <row r="94" customFormat="false" ht="12.8" hidden="true" customHeight="false" outlineLevel="0" collapsed="false">
      <c r="A94" s="1" t="n">
        <f aca="false">Campaign_data!A94</f>
        <v>93</v>
      </c>
      <c r="B94" s="1" t="n">
        <f aca="false">Campaign_data!D94</f>
        <v>0</v>
      </c>
      <c r="C94" s="1" t="str">
        <f aca="false">Campaign_data!K94</f>
        <v/>
      </c>
      <c r="D94" s="1" t="n">
        <f aca="false">B94</f>
        <v>0</v>
      </c>
      <c r="E94" s="1" t="str">
        <f aca="false">C94</f>
        <v/>
      </c>
      <c r="F94" s="1" t="str">
        <f aca="false">IFERROR(D94*E94,"")</f>
        <v/>
      </c>
      <c r="G94" s="1" t="n">
        <f aca="false">Campaign_data!F94</f>
        <v>952.2</v>
      </c>
    </row>
    <row r="95" customFormat="false" ht="12.8" hidden="false" customHeight="false" outlineLevel="0" collapsed="false">
      <c r="A95" s="1" t="n">
        <f aca="false">Campaign_data!A95</f>
        <v>94</v>
      </c>
      <c r="B95" s="1" t="n">
        <f aca="false">Campaign_data!D95</f>
        <v>6921.27</v>
      </c>
      <c r="C95" s="1" t="n">
        <f aca="false">Campaign_data!K95</f>
        <v>0.623638436298541</v>
      </c>
      <c r="D95" s="1" t="n">
        <f aca="false">B95</f>
        <v>6921.27</v>
      </c>
      <c r="E95" s="1" t="n">
        <f aca="false">C95</f>
        <v>0.623638436298541</v>
      </c>
      <c r="F95" s="1" t="n">
        <f aca="false">IFERROR(D95*E95,"")</f>
        <v>4316.37</v>
      </c>
      <c r="G95" s="1" t="n">
        <f aca="false">Campaign_data!F95</f>
        <v>4316.37</v>
      </c>
    </row>
    <row r="96" customFormat="false" ht="12.8" hidden="false" customHeight="false" outlineLevel="0" collapsed="false">
      <c r="A96" s="1" t="n">
        <f aca="false">Campaign_data!A96</f>
        <v>95</v>
      </c>
      <c r="B96" s="1" t="n">
        <f aca="false">Campaign_data!D96</f>
        <v>7430.85</v>
      </c>
      <c r="C96" s="1" t="n">
        <f aca="false">Campaign_data!K96</f>
        <v>0.435131916267991</v>
      </c>
      <c r="D96" s="1" t="n">
        <f aca="false">B96</f>
        <v>7430.85</v>
      </c>
      <c r="E96" s="1" t="n">
        <f aca="false">C96</f>
        <v>0.435131916267991</v>
      </c>
      <c r="F96" s="1" t="n">
        <f aca="false">IFERROR(D96*E96,"")</f>
        <v>3233.4</v>
      </c>
      <c r="G96" s="1" t="n">
        <f aca="false">Campaign_data!F96</f>
        <v>3233.4</v>
      </c>
    </row>
    <row r="97" customFormat="false" ht="12.8" hidden="false" customHeight="false" outlineLevel="0" collapsed="false">
      <c r="A97" s="1" t="n">
        <f aca="false">Campaign_data!A97</f>
        <v>96</v>
      </c>
      <c r="B97" s="1" t="n">
        <f aca="false">Campaign_data!D97</f>
        <v>3398.86</v>
      </c>
      <c r="C97" s="1" t="n">
        <f aca="false">Campaign_data!K97</f>
        <v>0.479101816491412</v>
      </c>
      <c r="D97" s="1" t="n">
        <f aca="false">B97</f>
        <v>3398.86</v>
      </c>
      <c r="E97" s="1" t="n">
        <f aca="false">C97</f>
        <v>0.479101816491412</v>
      </c>
      <c r="F97" s="1" t="n">
        <f aca="false">IFERROR(D97*E97,"")</f>
        <v>1628.4</v>
      </c>
      <c r="G97" s="1" t="n">
        <f aca="false">Campaign_data!F97</f>
        <v>1628.4</v>
      </c>
    </row>
    <row r="98" customFormat="false" ht="12.8" hidden="true" customHeight="false" outlineLevel="0" collapsed="false">
      <c r="A98" s="1" t="n">
        <f aca="false">Campaign_data!A98</f>
        <v>97</v>
      </c>
      <c r="B98" s="1" t="n">
        <f aca="false">Campaign_data!D98</f>
        <v>0</v>
      </c>
      <c r="C98" s="1" t="str">
        <f aca="false">Campaign_data!K98</f>
        <v/>
      </c>
      <c r="D98" s="1" t="n">
        <f aca="false">B98</f>
        <v>0</v>
      </c>
      <c r="E98" s="1" t="str">
        <f aca="false">C98</f>
        <v/>
      </c>
      <c r="F98" s="1" t="str">
        <f aca="false">IFERROR(D98*E98,"")</f>
        <v/>
      </c>
      <c r="G98" s="1" t="n">
        <f aca="false">Campaign_data!F98</f>
        <v>3285.87</v>
      </c>
    </row>
    <row r="99" customFormat="false" ht="12.8" hidden="false" customHeight="false" outlineLevel="0" collapsed="false">
      <c r="A99" s="1" t="n">
        <f aca="false">Campaign_data!A99</f>
        <v>98</v>
      </c>
      <c r="B99" s="1" t="n">
        <f aca="false">Campaign_data!D99</f>
        <v>1871.54</v>
      </c>
      <c r="C99" s="1" t="n">
        <f aca="false">Campaign_data!K99</f>
        <v>0.6327088921423</v>
      </c>
      <c r="D99" s="1" t="n">
        <f aca="false">B99</f>
        <v>1871.54</v>
      </c>
      <c r="E99" s="1" t="n">
        <f aca="false">C99</f>
        <v>0.6327088921423</v>
      </c>
      <c r="F99" s="1" t="n">
        <f aca="false">IFERROR(D99*E99,"")</f>
        <v>1184.14</v>
      </c>
      <c r="G99" s="1" t="n">
        <f aca="false">Campaign_data!F99</f>
        <v>1184.14</v>
      </c>
    </row>
    <row r="100" customFormat="false" ht="12.8" hidden="false" customHeight="false" outlineLevel="0" collapsed="false">
      <c r="A100" s="1" t="n">
        <f aca="false">Campaign_data!A100</f>
        <v>99</v>
      </c>
      <c r="B100" s="1" t="n">
        <f aca="false">Campaign_data!D100</f>
        <v>11110.92</v>
      </c>
      <c r="C100" s="1" t="n">
        <f aca="false">Campaign_data!K100</f>
        <v>0.601459645105896</v>
      </c>
      <c r="D100" s="1" t="n">
        <f aca="false">B100</f>
        <v>11110.92</v>
      </c>
      <c r="E100" s="1" t="n">
        <f aca="false">C100</f>
        <v>0.601459645105896</v>
      </c>
      <c r="F100" s="1" t="n">
        <f aca="false">IFERROR(D100*E100,"")</f>
        <v>6682.77</v>
      </c>
      <c r="G100" s="1" t="n">
        <f aca="false">Campaign_data!F100</f>
        <v>6682.77</v>
      </c>
    </row>
    <row r="101" customFormat="false" ht="12.8" hidden="true" customHeight="false" outlineLevel="0" collapsed="false">
      <c r="A101" s="1" t="n">
        <f aca="false">Campaign_data!A101</f>
        <v>100</v>
      </c>
      <c r="B101" s="1" t="n">
        <f aca="false">Campaign_data!D101</f>
        <v>0</v>
      </c>
      <c r="C101" s="1" t="str">
        <f aca="false">Campaign_data!K101</f>
        <v/>
      </c>
      <c r="D101" s="1" t="n">
        <f aca="false">B101</f>
        <v>0</v>
      </c>
      <c r="E101" s="1" t="str">
        <f aca="false">C101</f>
        <v/>
      </c>
      <c r="F101" s="1" t="str">
        <f aca="false">IFERROR(D101*E101,"")</f>
        <v/>
      </c>
      <c r="G101" s="1" t="n">
        <f aca="false">Campaign_data!F101</f>
        <v>3493.61</v>
      </c>
    </row>
    <row r="102" customFormat="false" ht="12.8" hidden="false" customHeight="false" outlineLevel="0" collapsed="false">
      <c r="A102" s="1" t="n">
        <f aca="false">Campaign_data!A102</f>
        <v>101</v>
      </c>
      <c r="B102" s="1" t="n">
        <f aca="false">Campaign_data!D102</f>
        <v>5645.38</v>
      </c>
      <c r="C102" s="1" t="n">
        <f aca="false">Campaign_data!K102</f>
        <v>0.312205732829322</v>
      </c>
      <c r="D102" s="1" t="n">
        <f aca="false">B102</f>
        <v>5645.38</v>
      </c>
      <c r="E102" s="1" t="n">
        <f aca="false">C102</f>
        <v>0.312205732829322</v>
      </c>
      <c r="F102" s="1" t="n">
        <f aca="false">IFERROR(D102*E102,"")</f>
        <v>1762.52</v>
      </c>
      <c r="G102" s="1" t="n">
        <f aca="false">Campaign_data!F102</f>
        <v>1762.52</v>
      </c>
    </row>
    <row r="103" customFormat="false" ht="12.8" hidden="false" customHeight="false" outlineLevel="0" collapsed="false">
      <c r="A103" s="1" t="n">
        <f aca="false">Campaign_data!A103</f>
        <v>102</v>
      </c>
      <c r="B103" s="1" t="n">
        <f aca="false">Campaign_data!D103</f>
        <v>12353.41</v>
      </c>
      <c r="C103" s="1" t="n">
        <f aca="false">Campaign_data!K103</f>
        <v>0.565133028046507</v>
      </c>
      <c r="D103" s="1" t="n">
        <f aca="false">B103</f>
        <v>12353.41</v>
      </c>
      <c r="E103" s="1" t="n">
        <f aca="false">C103</f>
        <v>0.565133028046507</v>
      </c>
      <c r="F103" s="1" t="n">
        <f aca="false">IFERROR(D103*E103,"")</f>
        <v>6981.32</v>
      </c>
      <c r="G103" s="1" t="n">
        <f aca="false">Campaign_data!F103</f>
        <v>6981.32</v>
      </c>
    </row>
    <row r="104" customFormat="false" ht="12.8" hidden="false" customHeight="false" outlineLevel="0" collapsed="false">
      <c r="A104" s="1" t="n">
        <f aca="false">Campaign_data!A104</f>
        <v>103</v>
      </c>
      <c r="B104" s="1" t="n">
        <f aca="false">Campaign_data!D104</f>
        <v>2876.98</v>
      </c>
      <c r="C104" s="1" t="n">
        <f aca="false">Campaign_data!K104</f>
        <v>0.356408456089372</v>
      </c>
      <c r="D104" s="1" t="n">
        <f aca="false">B104</f>
        <v>2876.98</v>
      </c>
      <c r="E104" s="1" t="n">
        <f aca="false">C104</f>
        <v>0.356408456089372</v>
      </c>
      <c r="F104" s="1" t="n">
        <f aca="false">IFERROR(D104*E104,"")</f>
        <v>1025.38</v>
      </c>
      <c r="G104" s="1" t="n">
        <f aca="false">Campaign_data!F104</f>
        <v>1025.38</v>
      </c>
    </row>
    <row r="105" customFormat="false" ht="12.8" hidden="true" customHeight="false" outlineLevel="0" collapsed="false">
      <c r="A105" s="1" t="n">
        <f aca="false">Campaign_data!A105</f>
        <v>104</v>
      </c>
      <c r="B105" s="1" t="n">
        <f aca="false">Campaign_data!D105</f>
        <v>0</v>
      </c>
      <c r="C105" s="1" t="str">
        <f aca="false">Campaign_data!K105</f>
        <v/>
      </c>
      <c r="D105" s="1" t="n">
        <f aca="false">B105</f>
        <v>0</v>
      </c>
      <c r="E105" s="1" t="str">
        <f aca="false">C105</f>
        <v/>
      </c>
      <c r="F105" s="1" t="str">
        <f aca="false">IFERROR(D105*E105,"")</f>
        <v/>
      </c>
      <c r="G105" s="1" t="n">
        <f aca="false">Campaign_data!F105</f>
        <v>3604.82</v>
      </c>
    </row>
    <row r="106" customFormat="false" ht="12.8" hidden="true" customHeight="false" outlineLevel="0" collapsed="false">
      <c r="A106" s="1" t="n">
        <f aca="false">Campaign_data!A106</f>
        <v>105</v>
      </c>
      <c r="B106" s="1" t="n">
        <f aca="false">Campaign_data!D106</f>
        <v>0</v>
      </c>
      <c r="C106" s="1" t="str">
        <f aca="false">Campaign_data!K106</f>
        <v/>
      </c>
      <c r="D106" s="1" t="n">
        <f aca="false">B106</f>
        <v>0</v>
      </c>
      <c r="E106" s="1" t="str">
        <f aca="false">C106</f>
        <v/>
      </c>
      <c r="F106" s="1" t="str">
        <f aca="false">IFERROR(D106*E106,"")</f>
        <v/>
      </c>
      <c r="G106" s="1" t="n">
        <f aca="false">Campaign_data!F106</f>
        <v>3437.93</v>
      </c>
    </row>
    <row r="107" customFormat="false" ht="12.8" hidden="true" customHeight="false" outlineLevel="0" collapsed="false">
      <c r="A107" s="1" t="n">
        <f aca="false">Campaign_data!A107</f>
        <v>106</v>
      </c>
      <c r="B107" s="1" t="n">
        <f aca="false">Campaign_data!D107</f>
        <v>0</v>
      </c>
      <c r="C107" s="1" t="str">
        <f aca="false">Campaign_data!K107</f>
        <v/>
      </c>
      <c r="D107" s="1" t="n">
        <f aca="false">B107</f>
        <v>0</v>
      </c>
      <c r="E107" s="1" t="str">
        <f aca="false">C107</f>
        <v/>
      </c>
      <c r="F107" s="1" t="str">
        <f aca="false">IFERROR(D107*E107,"")</f>
        <v/>
      </c>
      <c r="G107" s="1" t="n">
        <f aca="false">Campaign_data!F107</f>
        <v>64659.41</v>
      </c>
    </row>
    <row r="108" customFormat="false" ht="12.8" hidden="false" customHeight="false" outlineLevel="0" collapsed="false">
      <c r="A108" s="1" t="n">
        <f aca="false">Campaign_data!A108</f>
        <v>107</v>
      </c>
      <c r="B108" s="1" t="n">
        <f aca="false">Campaign_data!D108</f>
        <v>1737.47</v>
      </c>
      <c r="C108" s="1" t="n">
        <f aca="false">Campaign_data!K108</f>
        <v>0.107904021364398</v>
      </c>
      <c r="D108" s="1" t="n">
        <f aca="false">B108</f>
        <v>1737.47</v>
      </c>
      <c r="E108" s="1" t="n">
        <f aca="false">C108</f>
        <v>0.107904021364398</v>
      </c>
      <c r="F108" s="1" t="n">
        <f aca="false">IFERROR(D108*E108,"")</f>
        <v>187.480000000001</v>
      </c>
      <c r="G108" s="1" t="n">
        <f aca="false">Campaign_data!F108</f>
        <v>187.48</v>
      </c>
    </row>
    <row r="109" customFormat="false" ht="12.8" hidden="false" customHeight="false" outlineLevel="0" collapsed="false">
      <c r="A109" s="1" t="n">
        <f aca="false">Campaign_data!A109</f>
        <v>108</v>
      </c>
      <c r="B109" s="1" t="n">
        <f aca="false">Campaign_data!D109</f>
        <v>13736.77</v>
      </c>
      <c r="C109" s="1" t="n">
        <f aca="false">Campaign_data!K109</f>
        <v>0.671674636759588</v>
      </c>
      <c r="D109" s="1" t="n">
        <f aca="false">B109</f>
        <v>13736.77</v>
      </c>
      <c r="E109" s="1" t="n">
        <f aca="false">C109</f>
        <v>0.671674636759588</v>
      </c>
      <c r="F109" s="1" t="n">
        <f aca="false">IFERROR(D109*E109,"")</f>
        <v>9226.64000000001</v>
      </c>
      <c r="G109" s="1" t="n">
        <f aca="false">Campaign_data!F109</f>
        <v>9226.64</v>
      </c>
    </row>
    <row r="110" customFormat="false" ht="12.8" hidden="true" customHeight="false" outlineLevel="0" collapsed="false">
      <c r="A110" s="1" t="n">
        <f aca="false">Campaign_data!A110</f>
        <v>109</v>
      </c>
      <c r="B110" s="1" t="n">
        <f aca="false">Campaign_data!D110</f>
        <v>0</v>
      </c>
      <c r="C110" s="1" t="str">
        <f aca="false">Campaign_data!K110</f>
        <v/>
      </c>
      <c r="D110" s="1" t="n">
        <f aca="false">B110</f>
        <v>0</v>
      </c>
      <c r="E110" s="1" t="str">
        <f aca="false">C110</f>
        <v/>
      </c>
      <c r="F110" s="1" t="str">
        <f aca="false">IFERROR(D110*E110,"")</f>
        <v/>
      </c>
      <c r="G110" s="1" t="n">
        <f aca="false">Campaign_data!F110</f>
        <v>290.17</v>
      </c>
    </row>
    <row r="111" customFormat="false" ht="12.8" hidden="false" customHeight="false" outlineLevel="0" collapsed="false">
      <c r="A111" s="1" t="n">
        <f aca="false">Campaign_data!A111</f>
        <v>110</v>
      </c>
      <c r="B111" s="1" t="n">
        <f aca="false">Campaign_data!D111</f>
        <v>1055.82</v>
      </c>
      <c r="C111" s="1" t="n">
        <f aca="false">Campaign_data!K111</f>
        <v>0.655414748726109</v>
      </c>
      <c r="D111" s="1" t="n">
        <f aca="false">B111</f>
        <v>1055.82</v>
      </c>
      <c r="E111" s="1" t="n">
        <f aca="false">C111</f>
        <v>0.655414748726109</v>
      </c>
      <c r="F111" s="1" t="n">
        <f aca="false">IFERROR(D111*E111,"")</f>
        <v>692.000000000001</v>
      </c>
      <c r="G111" s="1" t="n">
        <f aca="false">Campaign_data!F111</f>
        <v>692</v>
      </c>
    </row>
    <row r="112" customFormat="false" ht="12.8" hidden="false" customHeight="false" outlineLevel="0" collapsed="false">
      <c r="A112" s="1" t="n">
        <f aca="false">Campaign_data!A112</f>
        <v>111</v>
      </c>
      <c r="B112" s="1" t="n">
        <f aca="false">Campaign_data!D112</f>
        <v>932.79</v>
      </c>
      <c r="C112" s="1" t="n">
        <f aca="false">Campaign_data!K112</f>
        <v>0.642813494998874</v>
      </c>
      <c r="D112" s="1" t="n">
        <f aca="false">B112</f>
        <v>932.79</v>
      </c>
      <c r="E112" s="1" t="n">
        <f aca="false">C112</f>
        <v>0.642813494998874</v>
      </c>
      <c r="F112" s="1" t="n">
        <f aca="false">IFERROR(D112*E112,"")</f>
        <v>599.61</v>
      </c>
      <c r="G112" s="1" t="n">
        <f aca="false">Campaign_data!F112</f>
        <v>599.61</v>
      </c>
    </row>
    <row r="113" customFormat="false" ht="12.8" hidden="false" customHeight="false" outlineLevel="0" collapsed="false">
      <c r="A113" s="1" t="n">
        <f aca="false">Campaign_data!A113</f>
        <v>112</v>
      </c>
      <c r="B113" s="1" t="n">
        <f aca="false">Campaign_data!D113</f>
        <v>2891.01</v>
      </c>
      <c r="C113" s="1" t="n">
        <f aca="false">Campaign_data!K113</f>
        <v>0.71332164191753</v>
      </c>
      <c r="D113" s="1" t="n">
        <f aca="false">B113</f>
        <v>2891.01</v>
      </c>
      <c r="E113" s="1" t="n">
        <f aca="false">C113</f>
        <v>0.71332164191753</v>
      </c>
      <c r="F113" s="1" t="n">
        <f aca="false">IFERROR(D113*E113,"")</f>
        <v>2062.22</v>
      </c>
      <c r="G113" s="1" t="n">
        <f aca="false">Campaign_data!F113</f>
        <v>2062.22</v>
      </c>
    </row>
    <row r="114" customFormat="false" ht="12.8" hidden="true" customHeight="false" outlineLevel="0" collapsed="false">
      <c r="A114" s="1" t="n">
        <f aca="false">Campaign_data!A114</f>
        <v>113</v>
      </c>
      <c r="B114" s="1" t="n">
        <f aca="false">Campaign_data!D114</f>
        <v>0</v>
      </c>
      <c r="C114" s="1" t="str">
        <f aca="false">Campaign_data!K114</f>
        <v/>
      </c>
      <c r="D114" s="1" t="n">
        <f aca="false">B114</f>
        <v>0</v>
      </c>
      <c r="E114" s="1" t="str">
        <f aca="false">C114</f>
        <v/>
      </c>
      <c r="F114" s="1" t="str">
        <f aca="false">IFERROR(D114*E114,"")</f>
        <v/>
      </c>
      <c r="G114" s="1" t="n">
        <f aca="false">Campaign_data!F114</f>
        <v>12420.01</v>
      </c>
    </row>
    <row r="115" customFormat="false" ht="12.8" hidden="true" customHeight="false" outlineLevel="0" collapsed="false">
      <c r="A115" s="1" t="n">
        <f aca="false">Campaign_data!A115</f>
        <v>114</v>
      </c>
      <c r="B115" s="1" t="n">
        <f aca="false">Campaign_data!D115</f>
        <v>0</v>
      </c>
      <c r="C115" s="1" t="str">
        <f aca="false">Campaign_data!K115</f>
        <v/>
      </c>
      <c r="D115" s="1" t="n">
        <f aca="false">B115</f>
        <v>0</v>
      </c>
      <c r="E115" s="1" t="str">
        <f aca="false">C115</f>
        <v/>
      </c>
      <c r="F115" s="1" t="str">
        <f aca="false">IFERROR(D115*E115,"")</f>
        <v/>
      </c>
      <c r="G115" s="1" t="n">
        <f aca="false">Campaign_data!F115</f>
        <v>6045.76</v>
      </c>
    </row>
    <row r="116" customFormat="false" ht="12.8" hidden="false" customHeight="false" outlineLevel="0" collapsed="false">
      <c r="A116" s="1" t="n">
        <f aca="false">Campaign_data!A116</f>
        <v>115</v>
      </c>
      <c r="B116" s="1" t="n">
        <f aca="false">Campaign_data!D116</f>
        <v>11505.94</v>
      </c>
      <c r="C116" s="1" t="n">
        <f aca="false">Campaign_data!K116</f>
        <v>0.427840750082131</v>
      </c>
      <c r="D116" s="1" t="n">
        <f aca="false">B116</f>
        <v>11505.94</v>
      </c>
      <c r="E116" s="1" t="n">
        <f aca="false">C116</f>
        <v>0.427840750082131</v>
      </c>
      <c r="F116" s="1" t="n">
        <f aca="false">IFERROR(D116*E116,"")</f>
        <v>4922.71</v>
      </c>
      <c r="G116" s="1" t="n">
        <f aca="false">Campaign_data!F116</f>
        <v>4922.71</v>
      </c>
    </row>
    <row r="117" customFormat="false" ht="12.8" hidden="false" customHeight="false" outlineLevel="0" collapsed="false">
      <c r="A117" s="1" t="n">
        <f aca="false">Campaign_data!A117</f>
        <v>116</v>
      </c>
      <c r="B117" s="1" t="n">
        <f aca="false">Campaign_data!D117</f>
        <v>13357.04</v>
      </c>
      <c r="C117" s="1" t="n">
        <f aca="false">Campaign_data!K117</f>
        <v>0.404183112426106</v>
      </c>
      <c r="D117" s="1" t="n">
        <f aca="false">B117</f>
        <v>13357.04</v>
      </c>
      <c r="E117" s="1" t="n">
        <f aca="false">C117</f>
        <v>0.404183112426106</v>
      </c>
      <c r="F117" s="1" t="n">
        <f aca="false">IFERROR(D117*E117,"")</f>
        <v>5398.69</v>
      </c>
      <c r="G117" s="1" t="n">
        <f aca="false">Campaign_data!F117</f>
        <v>5398.69</v>
      </c>
    </row>
    <row r="118" customFormat="false" ht="12.8" hidden="false" customHeight="false" outlineLevel="0" collapsed="false">
      <c r="A118" s="1" t="n">
        <f aca="false">Campaign_data!A118</f>
        <v>117</v>
      </c>
      <c r="B118" s="1" t="n">
        <f aca="false">Campaign_data!D118</f>
        <v>2190.24</v>
      </c>
      <c r="C118" s="1" t="n">
        <f aca="false">Campaign_data!K118</f>
        <v>0.0143226313098108</v>
      </c>
      <c r="D118" s="1" t="n">
        <f aca="false">B118</f>
        <v>2190.24</v>
      </c>
      <c r="E118" s="1" t="n">
        <f aca="false">C118</f>
        <v>0.0143226313098108</v>
      </c>
      <c r="F118" s="1" t="n">
        <f aca="false">IFERROR(D118*E118,"")</f>
        <v>31.37</v>
      </c>
      <c r="G118" s="1" t="n">
        <f aca="false">Campaign_data!F118</f>
        <v>31.37</v>
      </c>
    </row>
    <row r="119" customFormat="false" ht="12.8" hidden="false" customHeight="false" outlineLevel="0" collapsed="false">
      <c r="A119" s="1" t="n">
        <f aca="false">Campaign_data!A119</f>
        <v>118</v>
      </c>
      <c r="B119" s="1" t="n">
        <f aca="false">Campaign_data!D119</f>
        <v>1185.27</v>
      </c>
      <c r="C119" s="1" t="n">
        <f aca="false">Campaign_data!K119</f>
        <v>0.139099108220068</v>
      </c>
      <c r="D119" s="1" t="n">
        <f aca="false">B119</f>
        <v>1185.27</v>
      </c>
      <c r="E119" s="1" t="n">
        <f aca="false">C119</f>
        <v>0.139099108220068</v>
      </c>
      <c r="F119" s="1" t="n">
        <f aca="false">IFERROR(D119*E119,"")</f>
        <v>164.87</v>
      </c>
      <c r="G119" s="1" t="n">
        <f aca="false">Campaign_data!F119</f>
        <v>164.87</v>
      </c>
    </row>
    <row r="120" customFormat="false" ht="12.8" hidden="false" customHeight="false" outlineLevel="0" collapsed="false">
      <c r="A120" s="1" t="n">
        <f aca="false">Campaign_data!A120</f>
        <v>119</v>
      </c>
      <c r="B120" s="1" t="n">
        <f aca="false">Campaign_data!D120</f>
        <v>8635.42</v>
      </c>
      <c r="C120" s="1" t="n">
        <f aca="false">Campaign_data!K120</f>
        <v>0.492749628854184</v>
      </c>
      <c r="D120" s="1" t="n">
        <f aca="false">B120</f>
        <v>8635.42</v>
      </c>
      <c r="E120" s="1" t="n">
        <f aca="false">C120</f>
        <v>0.492749628854184</v>
      </c>
      <c r="F120" s="1" t="n">
        <f aca="false">IFERROR(D120*E120,"")</f>
        <v>4255.1</v>
      </c>
      <c r="G120" s="1" t="n">
        <f aca="false">Campaign_data!F120</f>
        <v>4255.1</v>
      </c>
    </row>
    <row r="121" customFormat="false" ht="12.8" hidden="true" customHeight="false" outlineLevel="0" collapsed="false">
      <c r="A121" s="1" t="n">
        <f aca="false">Campaign_data!A121</f>
        <v>120</v>
      </c>
      <c r="B121" s="1" t="n">
        <f aca="false">Campaign_data!D121</f>
        <v>0</v>
      </c>
      <c r="C121" s="1" t="str">
        <f aca="false">Campaign_data!K121</f>
        <v/>
      </c>
      <c r="D121" s="1" t="n">
        <f aca="false">B121</f>
        <v>0</v>
      </c>
      <c r="E121" s="1" t="str">
        <f aca="false">C121</f>
        <v/>
      </c>
      <c r="F121" s="1" t="str">
        <f aca="false">IFERROR(D121*E121,"")</f>
        <v/>
      </c>
      <c r="G121" s="1" t="n">
        <f aca="false">Campaign_data!F121</f>
        <v>4590.43</v>
      </c>
    </row>
    <row r="122" customFormat="false" ht="12.8" hidden="false" customHeight="false" outlineLevel="0" collapsed="false">
      <c r="A122" s="1" t="n">
        <f aca="false">Campaign_data!A122</f>
        <v>121</v>
      </c>
      <c r="B122" s="1" t="n">
        <f aca="false">Campaign_data!D122</f>
        <v>14413.17</v>
      </c>
      <c r="C122" s="1" t="n">
        <f aca="false">Campaign_data!K122</f>
        <v>0.381929166172327</v>
      </c>
      <c r="D122" s="1" t="n">
        <f aca="false">B122</f>
        <v>14413.17</v>
      </c>
      <c r="E122" s="1" t="n">
        <f aca="false">C122</f>
        <v>0.381929166172327</v>
      </c>
      <c r="F122" s="1" t="n">
        <f aca="false">IFERROR(D122*E122,"")</f>
        <v>5504.81</v>
      </c>
      <c r="G122" s="1" t="n">
        <f aca="false">Campaign_data!F122</f>
        <v>5504.81</v>
      </c>
    </row>
    <row r="123" customFormat="false" ht="12.8" hidden="false" customHeight="false" outlineLevel="0" collapsed="false">
      <c r="A123" s="1" t="n">
        <f aca="false">Campaign_data!A123</f>
        <v>122</v>
      </c>
      <c r="B123" s="1" t="n">
        <f aca="false">Campaign_data!D123</f>
        <v>15225.5</v>
      </c>
      <c r="C123" s="1" t="n">
        <f aca="false">Campaign_data!K123</f>
        <v>0.653904962070211</v>
      </c>
      <c r="D123" s="1" t="n">
        <f aca="false">B123</f>
        <v>15225.5</v>
      </c>
      <c r="E123" s="1" t="n">
        <f aca="false">C123</f>
        <v>0.653904962070211</v>
      </c>
      <c r="F123" s="1" t="n">
        <f aca="false">IFERROR(D123*E123,"")</f>
        <v>9956.03</v>
      </c>
      <c r="G123" s="1" t="n">
        <f aca="false">Campaign_data!F123</f>
        <v>9956.03</v>
      </c>
    </row>
    <row r="124" customFormat="false" ht="12.8" hidden="false" customHeight="false" outlineLevel="0" collapsed="false">
      <c r="A124" s="1" t="n">
        <f aca="false">Campaign_data!A124</f>
        <v>123</v>
      </c>
      <c r="B124" s="1" t="n">
        <f aca="false">Campaign_data!D124</f>
        <v>4549.01</v>
      </c>
      <c r="C124" s="1" t="n">
        <f aca="false">Campaign_data!K124</f>
        <v>0.750165420608</v>
      </c>
      <c r="D124" s="1" t="n">
        <f aca="false">B124</f>
        <v>4549.01</v>
      </c>
      <c r="E124" s="1" t="n">
        <f aca="false">C124</f>
        <v>0.750165420608</v>
      </c>
      <c r="F124" s="1" t="n">
        <f aca="false">IFERROR(D124*E124,"")</f>
        <v>3412.51</v>
      </c>
      <c r="G124" s="1" t="n">
        <f aca="false">Campaign_data!F124</f>
        <v>3412.51</v>
      </c>
    </row>
    <row r="125" customFormat="false" ht="12.8" hidden="true" customHeight="false" outlineLevel="0" collapsed="false">
      <c r="A125" s="1" t="n">
        <f aca="false">Campaign_data!A125</f>
        <v>124</v>
      </c>
      <c r="B125" s="1" t="n">
        <f aca="false">Campaign_data!D125</f>
        <v>0</v>
      </c>
      <c r="C125" s="1" t="str">
        <f aca="false">Campaign_data!K125</f>
        <v/>
      </c>
      <c r="D125" s="1" t="n">
        <f aca="false">B125</f>
        <v>0</v>
      </c>
      <c r="E125" s="1" t="str">
        <f aca="false">C125</f>
        <v/>
      </c>
      <c r="F125" s="1" t="str">
        <f aca="false">IFERROR(D125*E125,"")</f>
        <v/>
      </c>
      <c r="G125" s="1" t="n">
        <f aca="false">Campaign_data!F125</f>
        <v>2258.35</v>
      </c>
    </row>
    <row r="126" customFormat="false" ht="12.8" hidden="true" customHeight="false" outlineLevel="0" collapsed="false">
      <c r="A126" s="1" t="n">
        <f aca="false">Campaign_data!A126</f>
        <v>125</v>
      </c>
      <c r="B126" s="1" t="n">
        <f aca="false">Campaign_data!D126</f>
        <v>0</v>
      </c>
      <c r="C126" s="1" t="str">
        <f aca="false">Campaign_data!K126</f>
        <v/>
      </c>
      <c r="D126" s="1" t="n">
        <f aca="false">B126</f>
        <v>0</v>
      </c>
      <c r="E126" s="1" t="str">
        <f aca="false">C126</f>
        <v/>
      </c>
      <c r="F126" s="1" t="str">
        <f aca="false">IFERROR(D126*E126,"")</f>
        <v/>
      </c>
      <c r="G126" s="1" t="n">
        <f aca="false">Campaign_data!F126</f>
        <v>0</v>
      </c>
    </row>
    <row r="127" customFormat="false" ht="12.8" hidden="false" customHeight="false" outlineLevel="0" collapsed="false">
      <c r="A127" s="1" t="n">
        <f aca="false">Campaign_data!A127</f>
        <v>126</v>
      </c>
      <c r="B127" s="1" t="n">
        <f aca="false">Campaign_data!D127</f>
        <v>8004.37</v>
      </c>
      <c r="C127" s="1" t="n">
        <f aca="false">Campaign_data!K127</f>
        <v>0.572687169633588</v>
      </c>
      <c r="D127" s="1" t="n">
        <f aca="false">B127</f>
        <v>8004.37</v>
      </c>
      <c r="E127" s="1" t="n">
        <f aca="false">C127</f>
        <v>0.572687169633588</v>
      </c>
      <c r="F127" s="1" t="n">
        <f aca="false">IFERROR(D127*E127,"")</f>
        <v>4584</v>
      </c>
      <c r="G127" s="1" t="n">
        <f aca="false">Campaign_data!F127</f>
        <v>4584</v>
      </c>
    </row>
    <row r="128" customFormat="false" ht="12.8" hidden="false" customHeight="false" outlineLevel="0" collapsed="false">
      <c r="A128" s="1" t="n">
        <f aca="false">Campaign_data!A128</f>
        <v>127</v>
      </c>
      <c r="B128" s="1" t="n">
        <f aca="false">Campaign_data!D128</f>
        <v>12081.17</v>
      </c>
      <c r="C128" s="1" t="n">
        <f aca="false">Campaign_data!K128</f>
        <v>0.390299946114491</v>
      </c>
      <c r="D128" s="1" t="n">
        <f aca="false">B128</f>
        <v>12081.17</v>
      </c>
      <c r="E128" s="1" t="n">
        <f aca="false">C128</f>
        <v>0.390299946114491</v>
      </c>
      <c r="F128" s="1" t="n">
        <f aca="false">IFERROR(D128*E128,"")</f>
        <v>4715.28000000001</v>
      </c>
      <c r="G128" s="1" t="n">
        <f aca="false">Campaign_data!F128</f>
        <v>4715.28</v>
      </c>
    </row>
    <row r="129" customFormat="false" ht="12.8" hidden="false" customHeight="false" outlineLevel="0" collapsed="false">
      <c r="A129" s="1" t="n">
        <f aca="false">Campaign_data!A129</f>
        <v>128</v>
      </c>
      <c r="B129" s="1" t="n">
        <f aca="false">Campaign_data!D129</f>
        <v>2977.71</v>
      </c>
      <c r="C129" s="1" t="n">
        <f aca="false">Campaign_data!K129</f>
        <v>0.63663352038983</v>
      </c>
      <c r="D129" s="1" t="n">
        <f aca="false">B129</f>
        <v>2977.71</v>
      </c>
      <c r="E129" s="1" t="n">
        <f aca="false">C129</f>
        <v>0.63663352038983</v>
      </c>
      <c r="F129" s="1" t="n">
        <f aca="false">IFERROR(D129*E129,"")</f>
        <v>1895.71</v>
      </c>
      <c r="G129" s="1" t="n">
        <f aca="false">Campaign_data!F129</f>
        <v>1895.71</v>
      </c>
    </row>
    <row r="130" customFormat="false" ht="12.8" hidden="false" customHeight="false" outlineLevel="0" collapsed="false">
      <c r="A130" s="1" t="n">
        <f aca="false">Campaign_data!A130</f>
        <v>129</v>
      </c>
      <c r="B130" s="1" t="n">
        <f aca="false">Campaign_data!D130</f>
        <v>2759.02</v>
      </c>
      <c r="C130" s="1" t="n">
        <f aca="false">Campaign_data!K130</f>
        <v>0.388043580691695</v>
      </c>
      <c r="D130" s="1" t="n">
        <f aca="false">B130</f>
        <v>2759.02</v>
      </c>
      <c r="E130" s="1" t="n">
        <f aca="false">C130</f>
        <v>0.388043580691695</v>
      </c>
      <c r="F130" s="1" t="n">
        <f aca="false">IFERROR(D130*E130,"")</f>
        <v>1070.62</v>
      </c>
      <c r="G130" s="1" t="n">
        <f aca="false">Campaign_data!F130</f>
        <v>1070.62</v>
      </c>
    </row>
    <row r="131" customFormat="false" ht="12.8" hidden="false" customHeight="false" outlineLevel="0" collapsed="false">
      <c r="A131" s="1" t="n">
        <f aca="false">Campaign_data!A131</f>
        <v>130</v>
      </c>
      <c r="B131" s="1" t="n">
        <f aca="false">Campaign_data!D131</f>
        <v>20498.26</v>
      </c>
      <c r="C131" s="1" t="n">
        <f aca="false">Campaign_data!K131</f>
        <v>0.601327137035046</v>
      </c>
      <c r="D131" s="1" t="n">
        <f aca="false">B131</f>
        <v>20498.26</v>
      </c>
      <c r="E131" s="1" t="n">
        <f aca="false">C131</f>
        <v>0.601327137035046</v>
      </c>
      <c r="F131" s="1" t="n">
        <f aca="false">IFERROR(D131*E131,"")</f>
        <v>12326.16</v>
      </c>
      <c r="G131" s="1" t="n">
        <f aca="false">Campaign_data!F131</f>
        <v>12326.16</v>
      </c>
    </row>
    <row r="132" customFormat="false" ht="12.8" hidden="false" customHeight="false" outlineLevel="0" collapsed="false">
      <c r="A132" s="1" t="n">
        <f aca="false">Campaign_data!A132</f>
        <v>131</v>
      </c>
      <c r="B132" s="1" t="n">
        <f aca="false">Campaign_data!D132</f>
        <v>3794.94</v>
      </c>
      <c r="C132" s="1" t="n">
        <f aca="false">Campaign_data!K132</f>
        <v>0.445350914638967</v>
      </c>
      <c r="D132" s="1" t="n">
        <f aca="false">B132</f>
        <v>3794.94</v>
      </c>
      <c r="E132" s="1" t="n">
        <f aca="false">C132</f>
        <v>0.445350914638967</v>
      </c>
      <c r="F132" s="1" t="n">
        <f aca="false">IFERROR(D132*E132,"")</f>
        <v>1690.08</v>
      </c>
      <c r="G132" s="1" t="n">
        <f aca="false">Campaign_data!F132</f>
        <v>1690.08</v>
      </c>
    </row>
    <row r="133" customFormat="false" ht="12.8" hidden="false" customHeight="false" outlineLevel="0" collapsed="false">
      <c r="A133" s="1" t="n">
        <f aca="false">Campaign_data!A133</f>
        <v>132</v>
      </c>
      <c r="B133" s="1" t="n">
        <f aca="false">Campaign_data!D133</f>
        <v>4473.52</v>
      </c>
      <c r="C133" s="1" t="n">
        <f aca="false">Campaign_data!K133</f>
        <v>0.1827107065577</v>
      </c>
      <c r="D133" s="1" t="n">
        <f aca="false">B133</f>
        <v>4473.52</v>
      </c>
      <c r="E133" s="1" t="n">
        <f aca="false">C133</f>
        <v>0.1827107065577</v>
      </c>
      <c r="F133" s="1" t="n">
        <f aca="false">IFERROR(D133*E133,"")</f>
        <v>817.360000000002</v>
      </c>
      <c r="G133" s="1" t="n">
        <f aca="false">Campaign_data!F133</f>
        <v>817.36</v>
      </c>
    </row>
    <row r="134" customFormat="false" ht="12.8" hidden="true" customHeight="false" outlineLevel="0" collapsed="false">
      <c r="A134" s="1" t="n">
        <f aca="false">Campaign_data!A134</f>
        <v>133</v>
      </c>
      <c r="B134" s="1" t="n">
        <f aca="false">Campaign_data!D134</f>
        <v>0</v>
      </c>
      <c r="C134" s="1" t="str">
        <f aca="false">Campaign_data!K134</f>
        <v/>
      </c>
      <c r="D134" s="1" t="n">
        <f aca="false">B134</f>
        <v>0</v>
      </c>
      <c r="E134" s="1" t="str">
        <f aca="false">C134</f>
        <v/>
      </c>
      <c r="F134" s="1" t="str">
        <f aca="false">IFERROR(D134*E134,"")</f>
        <v/>
      </c>
      <c r="G134" s="1" t="n">
        <f aca="false">Campaign_data!F134</f>
        <v>0</v>
      </c>
    </row>
    <row r="135" customFormat="false" ht="12.8" hidden="true" customHeight="false" outlineLevel="0" collapsed="false">
      <c r="A135" s="1" t="n">
        <f aca="false">Campaign_data!A135</f>
        <v>134</v>
      </c>
      <c r="B135" s="1" t="n">
        <f aca="false">Campaign_data!D135</f>
        <v>0</v>
      </c>
      <c r="C135" s="1" t="str">
        <f aca="false">Campaign_data!K135</f>
        <v/>
      </c>
      <c r="D135" s="1" t="n">
        <f aca="false">B135</f>
        <v>0</v>
      </c>
      <c r="E135" s="1" t="str">
        <f aca="false">C135</f>
        <v/>
      </c>
      <c r="F135" s="1" t="str">
        <f aca="false">IFERROR(D135*E135,"")</f>
        <v/>
      </c>
      <c r="G135" s="1" t="n">
        <f aca="false">Campaign_data!F135</f>
        <v>555.11</v>
      </c>
    </row>
    <row r="136" customFormat="false" ht="12.8" hidden="true" customHeight="false" outlineLevel="0" collapsed="false">
      <c r="A136" s="1" t="n">
        <f aca="false">Campaign_data!A136</f>
        <v>135</v>
      </c>
      <c r="B136" s="1" t="n">
        <f aca="false">Campaign_data!D136</f>
        <v>0</v>
      </c>
      <c r="C136" s="1" t="str">
        <f aca="false">Campaign_data!K136</f>
        <v/>
      </c>
      <c r="D136" s="1" t="n">
        <f aca="false">B136</f>
        <v>0</v>
      </c>
      <c r="E136" s="1" t="str">
        <f aca="false">C136</f>
        <v/>
      </c>
      <c r="F136" s="1" t="str">
        <f aca="false">IFERROR(D136*E136,"")</f>
        <v/>
      </c>
      <c r="G136" s="1" t="n">
        <f aca="false">Campaign_data!F136</f>
        <v>256.46</v>
      </c>
    </row>
    <row r="137" customFormat="false" ht="12.8" hidden="false" customHeight="false" outlineLevel="0" collapsed="false">
      <c r="A137" s="1" t="n">
        <f aca="false">Campaign_data!A137</f>
        <v>136</v>
      </c>
      <c r="B137" s="1" t="n">
        <f aca="false">Campaign_data!D137</f>
        <v>964.81</v>
      </c>
      <c r="C137" s="1" t="n">
        <f aca="false">Campaign_data!K137</f>
        <v>0.133694717094558</v>
      </c>
      <c r="D137" s="1" t="n">
        <f aca="false">B137</f>
        <v>964.81</v>
      </c>
      <c r="E137" s="1" t="n">
        <f aca="false">C137</f>
        <v>0.133694717094558</v>
      </c>
      <c r="F137" s="1" t="n">
        <f aca="false">IFERROR(D137*E137,"")</f>
        <v>128.990000000001</v>
      </c>
      <c r="G137" s="1" t="n">
        <f aca="false">Campaign_data!F137</f>
        <v>128.99</v>
      </c>
    </row>
    <row r="138" customFormat="false" ht="12.8" hidden="false" customHeight="false" outlineLevel="0" collapsed="false">
      <c r="A138" s="1" t="n">
        <f aca="false">Campaign_data!A138</f>
        <v>137</v>
      </c>
      <c r="B138" s="1" t="n">
        <f aca="false">Campaign_data!D138</f>
        <v>2223.02</v>
      </c>
      <c r="C138" s="1" t="n">
        <f aca="false">Campaign_data!K138</f>
        <v>0.452011227969159</v>
      </c>
      <c r="D138" s="1" t="n">
        <f aca="false">B138</f>
        <v>2223.02</v>
      </c>
      <c r="E138" s="1" t="n">
        <f aca="false">C138</f>
        <v>0.452011227969159</v>
      </c>
      <c r="F138" s="1" t="n">
        <f aca="false">IFERROR(D138*E138,"")</f>
        <v>1004.83</v>
      </c>
      <c r="G138" s="1" t="n">
        <f aca="false">Campaign_data!F138</f>
        <v>1004.83</v>
      </c>
    </row>
    <row r="139" customFormat="false" ht="12.8" hidden="false" customHeight="false" outlineLevel="0" collapsed="false">
      <c r="A139" s="1" t="n">
        <f aca="false">Campaign_data!A139</f>
        <v>138</v>
      </c>
      <c r="B139" s="1" t="n">
        <f aca="false">Campaign_data!D139</f>
        <v>3744.95</v>
      </c>
      <c r="C139" s="1" t="n">
        <f aca="false">Campaign_data!K139</f>
        <v>0.354872561716445</v>
      </c>
      <c r="D139" s="1" t="n">
        <f aca="false">B139</f>
        <v>3744.95</v>
      </c>
      <c r="E139" s="1" t="n">
        <f aca="false">C139</f>
        <v>0.354872561716445</v>
      </c>
      <c r="F139" s="1" t="n">
        <f aca="false">IFERROR(D139*E139,"")</f>
        <v>1328.98</v>
      </c>
      <c r="G139" s="1" t="n">
        <f aca="false">Campaign_data!F139</f>
        <v>1328.98</v>
      </c>
    </row>
    <row r="140" customFormat="false" ht="12.8" hidden="false" customHeight="false" outlineLevel="0" collapsed="false">
      <c r="A140" s="1" t="n">
        <f aca="false">Campaign_data!A140</f>
        <v>139</v>
      </c>
      <c r="B140" s="1" t="n">
        <f aca="false">Campaign_data!D140</f>
        <v>21828.56</v>
      </c>
      <c r="C140" s="1" t="n">
        <f aca="false">Campaign_data!K140</f>
        <v>0.448576543757353</v>
      </c>
      <c r="D140" s="1" t="n">
        <f aca="false">B140</f>
        <v>21828.56</v>
      </c>
      <c r="E140" s="1" t="n">
        <f aca="false">C140</f>
        <v>0.448576543757353</v>
      </c>
      <c r="F140" s="1" t="n">
        <f aca="false">IFERROR(D140*E140,"")</f>
        <v>9791.78000000001</v>
      </c>
      <c r="G140" s="1" t="n">
        <f aca="false">Campaign_data!F140</f>
        <v>9791.78</v>
      </c>
    </row>
    <row r="141" customFormat="false" ht="12.8" hidden="false" customHeight="false" outlineLevel="0" collapsed="false">
      <c r="A141" s="1" t="n">
        <f aca="false">Campaign_data!A141</f>
        <v>140</v>
      </c>
      <c r="B141" s="1" t="n">
        <f aca="false">Campaign_data!D141</f>
        <v>10599.24</v>
      </c>
      <c r="C141" s="1" t="n">
        <f aca="false">Campaign_data!K141</f>
        <v>0.510458297009974</v>
      </c>
      <c r="D141" s="1" t="n">
        <f aca="false">B141</f>
        <v>10599.24</v>
      </c>
      <c r="E141" s="1" t="n">
        <f aca="false">C141</f>
        <v>0.510458297009974</v>
      </c>
      <c r="F141" s="1" t="n">
        <f aca="false">IFERROR(D141*E141,"")</f>
        <v>5410.47</v>
      </c>
      <c r="G141" s="1" t="n">
        <f aca="false">Campaign_data!F141</f>
        <v>5410.47</v>
      </c>
    </row>
    <row r="142" customFormat="false" ht="12.8" hidden="false" customHeight="false" outlineLevel="0" collapsed="false">
      <c r="A142" s="1" t="n">
        <f aca="false">Campaign_data!A142</f>
        <v>141</v>
      </c>
      <c r="B142" s="1" t="n">
        <f aca="false">Campaign_data!D142</f>
        <v>11060.86</v>
      </c>
      <c r="C142" s="1" t="n">
        <f aca="false">Campaign_data!K142</f>
        <v>0.908557743249621</v>
      </c>
      <c r="D142" s="1" t="n">
        <f aca="false">B142</f>
        <v>11060.86</v>
      </c>
      <c r="E142" s="1" t="n">
        <f aca="false">C142</f>
        <v>0.908557743249621</v>
      </c>
      <c r="F142" s="1" t="n">
        <f aca="false">IFERROR(D142*E142,"")</f>
        <v>10049.43</v>
      </c>
      <c r="G142" s="1" t="n">
        <f aca="false">Campaign_data!F142</f>
        <v>10049.43</v>
      </c>
    </row>
    <row r="143" customFormat="false" ht="12.8" hidden="false" customHeight="false" outlineLevel="0" collapsed="false">
      <c r="A143" s="1" t="n">
        <f aca="false">Campaign_data!A143</f>
        <v>142</v>
      </c>
      <c r="B143" s="1" t="n">
        <f aca="false">Campaign_data!D143</f>
        <v>7877.1</v>
      </c>
      <c r="C143" s="1" t="n">
        <f aca="false">Campaign_data!K143</f>
        <v>0.607594165365426</v>
      </c>
      <c r="D143" s="1" t="n">
        <f aca="false">B143</f>
        <v>7877.1</v>
      </c>
      <c r="E143" s="1" t="n">
        <f aca="false">C143</f>
        <v>0.607594165365426</v>
      </c>
      <c r="F143" s="1" t="n">
        <f aca="false">IFERROR(D143*E143,"")</f>
        <v>4786.08</v>
      </c>
      <c r="G143" s="1" t="n">
        <f aca="false">Campaign_data!F143</f>
        <v>4786.08</v>
      </c>
    </row>
    <row r="144" customFormat="false" ht="12.8" hidden="false" customHeight="false" outlineLevel="0" collapsed="false">
      <c r="A144" s="1" t="n">
        <f aca="false">Campaign_data!A144</f>
        <v>143</v>
      </c>
      <c r="B144" s="1" t="n">
        <f aca="false">Campaign_data!D144</f>
        <v>2041.18</v>
      </c>
      <c r="C144" s="1" t="n">
        <f aca="false">Campaign_data!K144</f>
        <v>0.695362486404923</v>
      </c>
      <c r="D144" s="1" t="n">
        <f aca="false">B144</f>
        <v>2041.18</v>
      </c>
      <c r="E144" s="1" t="n">
        <f aca="false">C144</f>
        <v>0.695362486404923</v>
      </c>
      <c r="F144" s="1" t="n">
        <f aca="false">IFERROR(D144*E144,"")</f>
        <v>1419.36</v>
      </c>
      <c r="G144" s="1" t="n">
        <f aca="false">Campaign_data!F144</f>
        <v>1419.36</v>
      </c>
    </row>
    <row r="145" customFormat="false" ht="12.8" hidden="false" customHeight="false" outlineLevel="0" collapsed="false">
      <c r="A145" s="1" t="n">
        <f aca="false">Campaign_data!A145</f>
        <v>144</v>
      </c>
      <c r="B145" s="1" t="n">
        <f aca="false">Campaign_data!D145</f>
        <v>1952.79</v>
      </c>
      <c r="C145" s="1" t="n">
        <f aca="false">Campaign_data!K145</f>
        <v>0.619175641005945</v>
      </c>
      <c r="D145" s="1" t="n">
        <f aca="false">B145</f>
        <v>1952.79</v>
      </c>
      <c r="E145" s="1" t="n">
        <f aca="false">C145</f>
        <v>0.619175641005945</v>
      </c>
      <c r="F145" s="1" t="n">
        <f aca="false">IFERROR(D145*E145,"")</f>
        <v>1209.12</v>
      </c>
      <c r="G145" s="1" t="n">
        <f aca="false">Campaign_data!F145</f>
        <v>1209.12</v>
      </c>
    </row>
    <row r="146" customFormat="false" ht="12.8" hidden="false" customHeight="false" outlineLevel="0" collapsed="false">
      <c r="A146" s="1" t="n">
        <f aca="false">Campaign_data!A146</f>
        <v>145</v>
      </c>
      <c r="B146" s="1" t="n">
        <f aca="false">Campaign_data!D146</f>
        <v>7351.19</v>
      </c>
      <c r="C146" s="1" t="n">
        <f aca="false">Campaign_data!K146</f>
        <v>0.597730435480514</v>
      </c>
      <c r="D146" s="1" t="n">
        <f aca="false">B146</f>
        <v>7351.19</v>
      </c>
      <c r="E146" s="1" t="n">
        <f aca="false">C146</f>
        <v>0.597730435480514</v>
      </c>
      <c r="F146" s="1" t="n">
        <f aca="false">IFERROR(D146*E146,"")</f>
        <v>4394.03</v>
      </c>
      <c r="G146" s="1" t="n">
        <f aca="false">Campaign_data!F146</f>
        <v>4394.03</v>
      </c>
    </row>
    <row r="147" customFormat="false" ht="12.8" hidden="false" customHeight="false" outlineLevel="0" collapsed="false">
      <c r="A147" s="1" t="n">
        <f aca="false">Campaign_data!A147</f>
        <v>146</v>
      </c>
      <c r="B147" s="1" t="n">
        <f aca="false">Campaign_data!D147</f>
        <v>13520.01</v>
      </c>
      <c r="C147" s="1" t="n">
        <f aca="false">Campaign_data!K147</f>
        <v>0.639966982272942</v>
      </c>
      <c r="D147" s="1" t="n">
        <f aca="false">B147</f>
        <v>13520.01</v>
      </c>
      <c r="E147" s="1" t="n">
        <f aca="false">C147</f>
        <v>0.639966982272942</v>
      </c>
      <c r="F147" s="1" t="n">
        <f aca="false">IFERROR(D147*E147,"")</f>
        <v>8652.36</v>
      </c>
      <c r="G147" s="1" t="n">
        <f aca="false">Campaign_data!F147</f>
        <v>8652.36</v>
      </c>
    </row>
    <row r="148" customFormat="false" ht="12.8" hidden="true" customHeight="false" outlineLevel="0" collapsed="false">
      <c r="A148" s="1" t="n">
        <f aca="false">Campaign_data!A148</f>
        <v>147</v>
      </c>
      <c r="B148" s="1" t="n">
        <f aca="false">Campaign_data!D148</f>
        <v>0</v>
      </c>
      <c r="C148" s="1" t="str">
        <f aca="false">Campaign_data!K148</f>
        <v/>
      </c>
      <c r="D148" s="1" t="n">
        <f aca="false">B148</f>
        <v>0</v>
      </c>
      <c r="E148" s="1" t="str">
        <f aca="false">C148</f>
        <v/>
      </c>
      <c r="F148" s="1" t="str">
        <f aca="false">IFERROR(D148*E148,"")</f>
        <v/>
      </c>
      <c r="G148" s="1" t="n">
        <f aca="false">Campaign_data!F148</f>
        <v>407.13</v>
      </c>
    </row>
    <row r="149" customFormat="false" ht="12.8" hidden="false" customHeight="false" outlineLevel="0" collapsed="false">
      <c r="A149" s="1" t="n">
        <f aca="false">Campaign_data!A149</f>
        <v>148</v>
      </c>
      <c r="B149" s="1" t="n">
        <f aca="false">Campaign_data!D149</f>
        <v>23570.9</v>
      </c>
      <c r="C149" s="1" t="n">
        <f aca="false">Campaign_data!K149</f>
        <v>0.490208689528189</v>
      </c>
      <c r="D149" s="1" t="n">
        <f aca="false">B149</f>
        <v>23570.9</v>
      </c>
      <c r="E149" s="1" t="n">
        <f aca="false">C149</f>
        <v>0.490208689528189</v>
      </c>
      <c r="F149" s="1" t="n">
        <f aca="false">IFERROR(D149*E149,"")</f>
        <v>11554.66</v>
      </c>
      <c r="G149" s="1" t="n">
        <f aca="false">Campaign_data!F149</f>
        <v>11554.66</v>
      </c>
    </row>
    <row r="150" customFormat="false" ht="12.8" hidden="true" customHeight="false" outlineLevel="0" collapsed="false">
      <c r="A150" s="1" t="n">
        <f aca="false">Campaign_data!A150</f>
        <v>149</v>
      </c>
      <c r="B150" s="1" t="n">
        <f aca="false">Campaign_data!D150</f>
        <v>0</v>
      </c>
      <c r="C150" s="1" t="str">
        <f aca="false">Campaign_data!K150</f>
        <v/>
      </c>
      <c r="D150" s="1" t="n">
        <f aca="false">B150</f>
        <v>0</v>
      </c>
      <c r="E150" s="1" t="str">
        <f aca="false">C150</f>
        <v/>
      </c>
      <c r="F150" s="1" t="str">
        <f aca="false">IFERROR(D150*E150,"")</f>
        <v/>
      </c>
      <c r="G150" s="1" t="n">
        <f aca="false">Campaign_data!F150</f>
        <v>0</v>
      </c>
    </row>
    <row r="151" customFormat="false" ht="12.8" hidden="true" customHeight="false" outlineLevel="0" collapsed="false">
      <c r="A151" s="1" t="n">
        <f aca="false">Campaign_data!A151</f>
        <v>150</v>
      </c>
      <c r="B151" s="1" t="n">
        <f aca="false">Campaign_data!D151</f>
        <v>0</v>
      </c>
      <c r="C151" s="1" t="str">
        <f aca="false">Campaign_data!K151</f>
        <v/>
      </c>
      <c r="D151" s="1" t="n">
        <f aca="false">B151</f>
        <v>0</v>
      </c>
      <c r="E151" s="1" t="str">
        <f aca="false">C151</f>
        <v/>
      </c>
      <c r="F151" s="1" t="str">
        <f aca="false">IFERROR(D151*E151,"")</f>
        <v/>
      </c>
      <c r="G151" s="1" t="n">
        <f aca="false">Campaign_data!F151</f>
        <v>5739.55</v>
      </c>
    </row>
    <row r="152" customFormat="false" ht="12.8" hidden="false" customHeight="false" outlineLevel="0" collapsed="false">
      <c r="A152" s="1" t="n">
        <f aca="false">Campaign_data!A152</f>
        <v>151</v>
      </c>
      <c r="B152" s="1" t="n">
        <f aca="false">Campaign_data!D152</f>
        <v>6824.14</v>
      </c>
      <c r="C152" s="1" t="n">
        <f aca="false">Campaign_data!K152</f>
        <v>0.442394206449457</v>
      </c>
      <c r="D152" s="1" t="n">
        <f aca="false">B152</f>
        <v>6824.14</v>
      </c>
      <c r="E152" s="1" t="n">
        <f aca="false">C152</f>
        <v>0.442394206449457</v>
      </c>
      <c r="F152" s="1" t="n">
        <f aca="false">IFERROR(D152*E152,"")</f>
        <v>3018.96</v>
      </c>
      <c r="G152" s="1" t="n">
        <f aca="false">Campaign_data!F152</f>
        <v>3018.96</v>
      </c>
    </row>
    <row r="153" customFormat="false" ht="12.8" hidden="false" customHeight="false" outlineLevel="0" collapsed="false">
      <c r="A153" s="1" t="n">
        <f aca="false">Campaign_data!A153</f>
        <v>152</v>
      </c>
      <c r="B153" s="1" t="n">
        <f aca="false">Campaign_data!D153</f>
        <v>13869.25</v>
      </c>
      <c r="C153" s="1" t="n">
        <f aca="false">Campaign_data!K153</f>
        <v>0.31852046794167</v>
      </c>
      <c r="D153" s="1" t="n">
        <f aca="false">B153</f>
        <v>13869.25</v>
      </c>
      <c r="E153" s="1" t="n">
        <f aca="false">C153</f>
        <v>0.31852046794167</v>
      </c>
      <c r="F153" s="1" t="n">
        <f aca="false">IFERROR(D153*E153,"")</f>
        <v>4417.64000000001</v>
      </c>
      <c r="G153" s="1" t="n">
        <f aca="false">Campaign_data!F153</f>
        <v>4417.64</v>
      </c>
    </row>
    <row r="154" customFormat="false" ht="12.8" hidden="false" customHeight="false" outlineLevel="0" collapsed="false">
      <c r="A154" s="1" t="n">
        <f aca="false">Campaign_data!A154</f>
        <v>153</v>
      </c>
      <c r="B154" s="1" t="n">
        <f aca="false">Campaign_data!D154</f>
        <v>6605.55</v>
      </c>
      <c r="C154" s="1" t="n">
        <f aca="false">Campaign_data!K154</f>
        <v>0.386409912876293</v>
      </c>
      <c r="D154" s="1" t="n">
        <f aca="false">B154</f>
        <v>6605.55</v>
      </c>
      <c r="E154" s="1" t="n">
        <f aca="false">C154</f>
        <v>0.386409912876293</v>
      </c>
      <c r="F154" s="1" t="n">
        <f aca="false">IFERROR(D154*E154,"")</f>
        <v>2552.45</v>
      </c>
      <c r="G154" s="1" t="n">
        <f aca="false">Campaign_data!F154</f>
        <v>2552.45</v>
      </c>
    </row>
    <row r="155" customFormat="false" ht="12.8" hidden="false" customHeight="false" outlineLevel="0" collapsed="false">
      <c r="A155" s="1" t="n">
        <f aca="false">Campaign_data!A155</f>
        <v>154</v>
      </c>
      <c r="B155" s="1" t="n">
        <f aca="false">Campaign_data!D155</f>
        <v>15480.76</v>
      </c>
      <c r="C155" s="1" t="n">
        <f aca="false">Campaign_data!K155</f>
        <v>0.620730506770985</v>
      </c>
      <c r="D155" s="1" t="n">
        <f aca="false">B155</f>
        <v>15480.76</v>
      </c>
      <c r="E155" s="1" t="n">
        <f aca="false">C155</f>
        <v>0.620730506770985</v>
      </c>
      <c r="F155" s="1" t="n">
        <f aca="false">IFERROR(D155*E155,"")</f>
        <v>9609.37999999999</v>
      </c>
      <c r="G155" s="1" t="n">
        <f aca="false">Campaign_data!F155</f>
        <v>9609.38</v>
      </c>
    </row>
    <row r="156" customFormat="false" ht="12.8" hidden="false" customHeight="false" outlineLevel="0" collapsed="false">
      <c r="A156" s="1" t="n">
        <f aca="false">Campaign_data!A156</f>
        <v>155</v>
      </c>
      <c r="B156" s="1" t="n">
        <f aca="false">Campaign_data!D156</f>
        <v>3300.75</v>
      </c>
      <c r="C156" s="1" t="n">
        <f aca="false">Campaign_data!K156</f>
        <v>0.774196773460577</v>
      </c>
      <c r="D156" s="1" t="n">
        <f aca="false">B156</f>
        <v>3300.75</v>
      </c>
      <c r="E156" s="1" t="n">
        <f aca="false">C156</f>
        <v>0.774196773460577</v>
      </c>
      <c r="F156" s="1" t="n">
        <f aca="false">IFERROR(D156*E156,"")</f>
        <v>2555.43</v>
      </c>
      <c r="G156" s="1" t="n">
        <f aca="false">Campaign_data!F156</f>
        <v>2555.43</v>
      </c>
    </row>
    <row r="157" customFormat="false" ht="12.8" hidden="true" customHeight="false" outlineLevel="0" collapsed="false">
      <c r="A157" s="1" t="n">
        <f aca="false">Campaign_data!A157</f>
        <v>156</v>
      </c>
      <c r="B157" s="1" t="n">
        <f aca="false">Campaign_data!D157</f>
        <v>0</v>
      </c>
      <c r="C157" s="1" t="str">
        <f aca="false">Campaign_data!K157</f>
        <v/>
      </c>
      <c r="D157" s="1" t="n">
        <f aca="false">B157</f>
        <v>0</v>
      </c>
      <c r="E157" s="1" t="str">
        <f aca="false">C157</f>
        <v/>
      </c>
      <c r="F157" s="1" t="str">
        <f aca="false">IFERROR(D157*E157,"")</f>
        <v/>
      </c>
      <c r="G157" s="1" t="n">
        <f aca="false">Campaign_data!F157</f>
        <v>525.89</v>
      </c>
    </row>
    <row r="158" customFormat="false" ht="12.8" hidden="false" customHeight="false" outlineLevel="0" collapsed="false">
      <c r="A158" s="1" t="n">
        <f aca="false">Campaign_data!A158</f>
        <v>157</v>
      </c>
      <c r="B158" s="1" t="n">
        <f aca="false">Campaign_data!D158</f>
        <v>8606.53</v>
      </c>
      <c r="C158" s="1" t="n">
        <f aca="false">Campaign_data!K158</f>
        <v>0.420578328315825</v>
      </c>
      <c r="D158" s="1" t="n">
        <f aca="false">B158</f>
        <v>8606.53</v>
      </c>
      <c r="E158" s="1" t="n">
        <f aca="false">C158</f>
        <v>0.420578328315825</v>
      </c>
      <c r="F158" s="1" t="n">
        <f aca="false">IFERROR(D158*E158,"")</f>
        <v>3619.72</v>
      </c>
      <c r="G158" s="1" t="n">
        <f aca="false">Campaign_data!F158</f>
        <v>3619.72</v>
      </c>
    </row>
    <row r="159" customFormat="false" ht="12.8" hidden="true" customHeight="false" outlineLevel="0" collapsed="false">
      <c r="A159" s="1" t="n">
        <f aca="false">Campaign_data!A159</f>
        <v>158</v>
      </c>
      <c r="B159" s="1" t="n">
        <f aca="false">Campaign_data!D159</f>
        <v>0</v>
      </c>
      <c r="C159" s="1" t="str">
        <f aca="false">Campaign_data!K159</f>
        <v/>
      </c>
      <c r="D159" s="1" t="n">
        <f aca="false">B159</f>
        <v>0</v>
      </c>
      <c r="E159" s="1" t="str">
        <f aca="false">C159</f>
        <v/>
      </c>
      <c r="F159" s="1" t="str">
        <f aca="false">IFERROR(D159*E159,"")</f>
        <v/>
      </c>
      <c r="G159" s="1" t="n">
        <f aca="false">Campaign_data!F159</f>
        <v>142.28</v>
      </c>
    </row>
    <row r="160" customFormat="false" ht="12.8" hidden="false" customHeight="false" outlineLevel="0" collapsed="false">
      <c r="A160" s="1" t="n">
        <f aca="false">Campaign_data!A160</f>
        <v>159</v>
      </c>
      <c r="B160" s="1" t="n">
        <f aca="false">Campaign_data!D160</f>
        <v>9384.8</v>
      </c>
      <c r="C160" s="1" t="n">
        <f aca="false">Campaign_data!K160</f>
        <v>0.447303085840934</v>
      </c>
      <c r="D160" s="1" t="n">
        <f aca="false">B160</f>
        <v>9384.8</v>
      </c>
      <c r="E160" s="1" t="n">
        <f aca="false">C160</f>
        <v>0.447303085840934</v>
      </c>
      <c r="F160" s="1" t="n">
        <f aca="false">IFERROR(D160*E160,"")</f>
        <v>4197.85</v>
      </c>
      <c r="G160" s="1" t="n">
        <f aca="false">Campaign_data!F160</f>
        <v>4197.85</v>
      </c>
    </row>
    <row r="161" customFormat="false" ht="12.8" hidden="false" customHeight="false" outlineLevel="0" collapsed="false">
      <c r="A161" s="1" t="n">
        <f aca="false">Campaign_data!A161</f>
        <v>160</v>
      </c>
      <c r="B161" s="1" t="n">
        <f aca="false">Campaign_data!D161</f>
        <v>1594.05</v>
      </c>
      <c r="C161" s="1" t="n">
        <f aca="false">Campaign_data!K161</f>
        <v>0.0397101722028795</v>
      </c>
      <c r="D161" s="1" t="n">
        <f aca="false">B161</f>
        <v>1594.05</v>
      </c>
      <c r="E161" s="1" t="n">
        <f aca="false">C161</f>
        <v>0.0397101722028795</v>
      </c>
      <c r="F161" s="1" t="n">
        <f aca="false">IFERROR(D161*E161,"")</f>
        <v>63.3000000000001</v>
      </c>
      <c r="G161" s="1" t="n">
        <f aca="false">Campaign_data!F161</f>
        <v>63.3</v>
      </c>
    </row>
    <row r="162" customFormat="false" ht="12.8" hidden="true" customHeight="false" outlineLevel="0" collapsed="false">
      <c r="A162" s="1" t="n">
        <f aca="false">Campaign_data!A162</f>
        <v>161</v>
      </c>
      <c r="B162" s="1" t="n">
        <f aca="false">Campaign_data!D162</f>
        <v>0</v>
      </c>
      <c r="C162" s="1" t="str">
        <f aca="false">Campaign_data!K162</f>
        <v/>
      </c>
      <c r="D162" s="1" t="n">
        <f aca="false">B162</f>
        <v>0</v>
      </c>
      <c r="E162" s="1" t="str">
        <f aca="false">C162</f>
        <v/>
      </c>
      <c r="F162" s="1" t="str">
        <f aca="false">IFERROR(D162*E162,"")</f>
        <v/>
      </c>
      <c r="G162" s="1" t="n">
        <f aca="false">Campaign_data!F162</f>
        <v>4025.96</v>
      </c>
    </row>
    <row r="163" customFormat="false" ht="12.8" hidden="true" customHeight="false" outlineLevel="0" collapsed="false">
      <c r="A163" s="1" t="n">
        <f aca="false">Campaign_data!A163</f>
        <v>162</v>
      </c>
      <c r="B163" s="1" t="n">
        <f aca="false">Campaign_data!D163</f>
        <v>0</v>
      </c>
      <c r="C163" s="1" t="str">
        <f aca="false">Campaign_data!K163</f>
        <v/>
      </c>
      <c r="D163" s="1" t="n">
        <f aca="false">B163</f>
        <v>0</v>
      </c>
      <c r="E163" s="1" t="str">
        <f aca="false">C163</f>
        <v/>
      </c>
      <c r="F163" s="1" t="str">
        <f aca="false">IFERROR(D163*E163,"")</f>
        <v/>
      </c>
      <c r="G163" s="1" t="n">
        <f aca="false">Campaign_data!F163</f>
        <v>0</v>
      </c>
    </row>
    <row r="164" customFormat="false" ht="12.8" hidden="false" customHeight="false" outlineLevel="0" collapsed="false">
      <c r="A164" s="1" t="n">
        <f aca="false">Campaign_data!A164</f>
        <v>163</v>
      </c>
      <c r="B164" s="1" t="n">
        <f aca="false">Campaign_data!D164</f>
        <v>9159.03</v>
      </c>
      <c r="C164" s="1" t="n">
        <f aca="false">Campaign_data!K164</f>
        <v>0.565361179076824</v>
      </c>
      <c r="D164" s="1" t="n">
        <f aca="false">B164</f>
        <v>9159.03</v>
      </c>
      <c r="E164" s="1" t="n">
        <f aca="false">C164</f>
        <v>0.565361179076824</v>
      </c>
      <c r="F164" s="1" t="n">
        <f aca="false">IFERROR(D164*E164,"")</f>
        <v>5178.16</v>
      </c>
      <c r="G164" s="1" t="n">
        <f aca="false">Campaign_data!F164</f>
        <v>5178.16</v>
      </c>
    </row>
    <row r="165" customFormat="false" ht="12.8" hidden="true" customHeight="false" outlineLevel="0" collapsed="false">
      <c r="A165" s="1" t="n">
        <f aca="false">Campaign_data!A165</f>
        <v>164</v>
      </c>
      <c r="B165" s="1" t="n">
        <f aca="false">Campaign_data!D165</f>
        <v>0</v>
      </c>
      <c r="C165" s="1" t="str">
        <f aca="false">Campaign_data!K165</f>
        <v/>
      </c>
      <c r="D165" s="1" t="n">
        <f aca="false">B165</f>
        <v>0</v>
      </c>
      <c r="E165" s="1" t="str">
        <f aca="false">C165</f>
        <v/>
      </c>
      <c r="F165" s="1" t="str">
        <f aca="false">IFERROR(D165*E165,"")</f>
        <v/>
      </c>
      <c r="G165" s="1" t="n">
        <f aca="false">Campaign_data!F165</f>
        <v>3471.98</v>
      </c>
    </row>
    <row r="166" customFormat="false" ht="12.8" hidden="true" customHeight="false" outlineLevel="0" collapsed="false">
      <c r="A166" s="1" t="n">
        <f aca="false">Campaign_data!A166</f>
        <v>165</v>
      </c>
      <c r="B166" s="1" t="n">
        <f aca="false">Campaign_data!D166</f>
        <v>0</v>
      </c>
      <c r="C166" s="1" t="str">
        <f aca="false">Campaign_data!K166</f>
        <v/>
      </c>
      <c r="D166" s="1" t="n">
        <f aca="false">B166</f>
        <v>0</v>
      </c>
      <c r="E166" s="1" t="str">
        <f aca="false">C166</f>
        <v/>
      </c>
      <c r="F166" s="1" t="str">
        <f aca="false">IFERROR(D166*E166,"")</f>
        <v/>
      </c>
      <c r="G166" s="1" t="n">
        <f aca="false">Campaign_data!F166</f>
        <v>163.9</v>
      </c>
    </row>
    <row r="167" customFormat="false" ht="12.8" hidden="false" customHeight="false" outlineLevel="0" collapsed="false">
      <c r="A167" s="1" t="n">
        <f aca="false">Campaign_data!A167</f>
        <v>166</v>
      </c>
      <c r="B167" s="1" t="n">
        <f aca="false">Campaign_data!D167</f>
        <v>205.98</v>
      </c>
      <c r="C167" s="1" t="n">
        <f aca="false">Campaign_data!K167</f>
        <v>0</v>
      </c>
      <c r="D167" s="1" t="n">
        <f aca="false">B167</f>
        <v>205.98</v>
      </c>
      <c r="E167" s="1" t="n">
        <f aca="false">C167</f>
        <v>0</v>
      </c>
      <c r="F167" s="1" t="n">
        <f aca="false">IFERROR(D167*E167,"")</f>
        <v>0</v>
      </c>
      <c r="G167" s="1" t="n">
        <f aca="false">Campaign_data!F167</f>
        <v>0</v>
      </c>
    </row>
    <row r="168" customFormat="false" ht="12.8" hidden="false" customHeight="false" outlineLevel="0" collapsed="false">
      <c r="A168" s="1" t="n">
        <f aca="false">Campaign_data!A168</f>
        <v>167</v>
      </c>
      <c r="B168" s="1" t="n">
        <f aca="false">Campaign_data!D168</f>
        <v>2306.94</v>
      </c>
      <c r="C168" s="1" t="n">
        <f aca="false">Campaign_data!K168</f>
        <v>0.604662453293107</v>
      </c>
      <c r="D168" s="1" t="n">
        <f aca="false">B168</f>
        <v>2306.94</v>
      </c>
      <c r="E168" s="1" t="n">
        <f aca="false">C168</f>
        <v>0.604662453293107</v>
      </c>
      <c r="F168" s="1" t="n">
        <f aca="false">IFERROR(D168*E168,"")</f>
        <v>1394.92</v>
      </c>
      <c r="G168" s="1" t="n">
        <f aca="false">Campaign_data!F168</f>
        <v>1394.92</v>
      </c>
    </row>
    <row r="169" customFormat="false" ht="12.8" hidden="false" customHeight="false" outlineLevel="0" collapsed="false">
      <c r="A169" s="1" t="n">
        <f aca="false">Campaign_data!A169</f>
        <v>168</v>
      </c>
      <c r="B169" s="1" t="n">
        <f aca="false">Campaign_data!D169</f>
        <v>157.84</v>
      </c>
      <c r="C169" s="1" t="n">
        <f aca="false">Campaign_data!K169</f>
        <v>1.43936898124683</v>
      </c>
      <c r="D169" s="1" t="n">
        <f aca="false">B169</f>
        <v>157.84</v>
      </c>
      <c r="E169" s="1" t="n">
        <f aca="false">C169</f>
        <v>1.43936898124683</v>
      </c>
      <c r="F169" s="1" t="n">
        <f aca="false">IFERROR(D169*E169,"")</f>
        <v>227.19</v>
      </c>
      <c r="G169" s="1" t="n">
        <f aca="false">Campaign_data!F169</f>
        <v>227.19</v>
      </c>
    </row>
    <row r="170" customFormat="false" ht="12.8" hidden="true" customHeight="false" outlineLevel="0" collapsed="false">
      <c r="A170" s="1" t="n">
        <f aca="false">Campaign_data!A170</f>
        <v>169</v>
      </c>
      <c r="B170" s="1" t="n">
        <f aca="false">Campaign_data!D170</f>
        <v>0</v>
      </c>
      <c r="C170" s="1" t="str">
        <f aca="false">Campaign_data!K170</f>
        <v/>
      </c>
      <c r="D170" s="1" t="n">
        <f aca="false">B170</f>
        <v>0</v>
      </c>
      <c r="E170" s="1" t="str">
        <f aca="false">C170</f>
        <v/>
      </c>
      <c r="F170" s="1" t="str">
        <f aca="false">IFERROR(D170*E170,"")</f>
        <v/>
      </c>
      <c r="G170" s="1" t="n">
        <f aca="false">Campaign_data!F170</f>
        <v>0</v>
      </c>
    </row>
    <row r="171" customFormat="false" ht="12.8" hidden="true" customHeight="false" outlineLevel="0" collapsed="false">
      <c r="A171" s="1" t="n">
        <f aca="false">Campaign_data!A171</f>
        <v>170</v>
      </c>
      <c r="B171" s="1" t="n">
        <f aca="false">Campaign_data!D171</f>
        <v>0</v>
      </c>
      <c r="C171" s="1" t="str">
        <f aca="false">Campaign_data!K171</f>
        <v/>
      </c>
      <c r="D171" s="1" t="n">
        <f aca="false">B171</f>
        <v>0</v>
      </c>
      <c r="E171" s="1" t="str">
        <f aca="false">C171</f>
        <v/>
      </c>
      <c r="F171" s="1" t="str">
        <f aca="false">IFERROR(D171*E171,"")</f>
        <v/>
      </c>
      <c r="G171" s="1" t="n">
        <f aca="false">Campaign_data!F171</f>
        <v>12577.22</v>
      </c>
    </row>
    <row r="172" customFormat="false" ht="12.8" hidden="false" customHeight="false" outlineLevel="0" collapsed="false">
      <c r="A172" s="1" t="n">
        <f aca="false">Campaign_data!A172</f>
        <v>171</v>
      </c>
      <c r="B172" s="1" t="n">
        <f aca="false">Campaign_data!D172</f>
        <v>1792.86</v>
      </c>
      <c r="C172" s="1" t="n">
        <f aca="false">Campaign_data!K172</f>
        <v>0.399702151869081</v>
      </c>
      <c r="D172" s="1" t="n">
        <f aca="false">B172</f>
        <v>1792.86</v>
      </c>
      <c r="E172" s="1" t="n">
        <f aca="false">C172</f>
        <v>0.399702151869081</v>
      </c>
      <c r="F172" s="1" t="n">
        <f aca="false">IFERROR(D172*E172,"")</f>
        <v>716.610000000001</v>
      </c>
      <c r="G172" s="1" t="n">
        <f aca="false">Campaign_data!F172</f>
        <v>716.61</v>
      </c>
    </row>
    <row r="173" customFormat="false" ht="12.8" hidden="false" customHeight="false" outlineLevel="0" collapsed="false">
      <c r="A173" s="1" t="n">
        <f aca="false">Campaign_data!A173</f>
        <v>172</v>
      </c>
      <c r="B173" s="1" t="n">
        <f aca="false">Campaign_data!D173</f>
        <v>5530.25</v>
      </c>
      <c r="C173" s="1" t="n">
        <f aca="false">Campaign_data!K173</f>
        <v>0.434398083269292</v>
      </c>
      <c r="D173" s="1" t="n">
        <f aca="false">B173</f>
        <v>5530.25</v>
      </c>
      <c r="E173" s="1" t="n">
        <f aca="false">C173</f>
        <v>0.434398083269292</v>
      </c>
      <c r="F173" s="1" t="n">
        <f aca="false">IFERROR(D173*E173,"")</f>
        <v>2402.33</v>
      </c>
      <c r="G173" s="1" t="n">
        <f aca="false">Campaign_data!F173</f>
        <v>2402.33</v>
      </c>
    </row>
    <row r="174" customFormat="false" ht="12.8" hidden="false" customHeight="false" outlineLevel="0" collapsed="false">
      <c r="A174" s="1" t="n">
        <f aca="false">Campaign_data!A174</f>
        <v>173</v>
      </c>
      <c r="B174" s="1" t="n">
        <f aca="false">Campaign_data!D174</f>
        <v>19814.72</v>
      </c>
      <c r="C174" s="1" t="n">
        <f aca="false">Campaign_data!K174</f>
        <v>0.512710752410329</v>
      </c>
      <c r="D174" s="1" t="n">
        <f aca="false">B174</f>
        <v>19814.72</v>
      </c>
      <c r="E174" s="1" t="n">
        <f aca="false">C174</f>
        <v>0.512710752410329</v>
      </c>
      <c r="F174" s="1" t="n">
        <f aca="false">IFERROR(D174*E174,"")</f>
        <v>10159.22</v>
      </c>
      <c r="G174" s="1" t="n">
        <f aca="false">Campaign_data!F174</f>
        <v>10159.22</v>
      </c>
    </row>
    <row r="175" customFormat="false" ht="12.8" hidden="true" customHeight="false" outlineLevel="0" collapsed="false">
      <c r="A175" s="1" t="n">
        <f aca="false">Campaign_data!A175</f>
        <v>174</v>
      </c>
      <c r="B175" s="1" t="n">
        <f aca="false">Campaign_data!D175</f>
        <v>0</v>
      </c>
      <c r="C175" s="1" t="str">
        <f aca="false">Campaign_data!K175</f>
        <v/>
      </c>
      <c r="D175" s="1" t="n">
        <f aca="false">B175</f>
        <v>0</v>
      </c>
      <c r="E175" s="1" t="str">
        <f aca="false">C175</f>
        <v/>
      </c>
      <c r="F175" s="1" t="str">
        <f aca="false">IFERROR(D175*E175,"")</f>
        <v/>
      </c>
      <c r="G175" s="1" t="n">
        <f aca="false">Campaign_data!F175</f>
        <v>4052.98</v>
      </c>
    </row>
    <row r="176" customFormat="false" ht="12.8" hidden="true" customHeight="false" outlineLevel="0" collapsed="false">
      <c r="A176" s="1" t="n">
        <f aca="false">Campaign_data!A176</f>
        <v>175</v>
      </c>
      <c r="B176" s="1" t="n">
        <f aca="false">Campaign_data!D176</f>
        <v>0</v>
      </c>
      <c r="C176" s="1" t="str">
        <f aca="false">Campaign_data!K176</f>
        <v/>
      </c>
      <c r="D176" s="1" t="n">
        <f aca="false">B176</f>
        <v>0</v>
      </c>
      <c r="E176" s="1" t="str">
        <f aca="false">C176</f>
        <v/>
      </c>
      <c r="F176" s="1" t="str">
        <f aca="false">IFERROR(D176*E176,"")</f>
        <v/>
      </c>
      <c r="G176" s="1" t="n">
        <f aca="false">Campaign_data!F176</f>
        <v>1951.15</v>
      </c>
    </row>
    <row r="177" customFormat="false" ht="12.8" hidden="false" customHeight="false" outlineLevel="0" collapsed="false">
      <c r="A177" s="1" t="n">
        <f aca="false">Campaign_data!A177</f>
        <v>176</v>
      </c>
      <c r="B177" s="1" t="n">
        <f aca="false">Campaign_data!D177</f>
        <v>2344.24</v>
      </c>
      <c r="C177" s="1" t="n">
        <f aca="false">Campaign_data!K177</f>
        <v>0.280214483158721</v>
      </c>
      <c r="D177" s="1" t="n">
        <f aca="false">B177</f>
        <v>2344.24</v>
      </c>
      <c r="E177" s="1" t="n">
        <f aca="false">C177</f>
        <v>0.280214483158721</v>
      </c>
      <c r="F177" s="1" t="n">
        <f aca="false">IFERROR(D177*E177,"")</f>
        <v>656.89</v>
      </c>
      <c r="G177" s="1" t="n">
        <f aca="false">Campaign_data!F177</f>
        <v>656.89</v>
      </c>
    </row>
    <row r="178" customFormat="false" ht="12.8" hidden="false" customHeight="false" outlineLevel="0" collapsed="false">
      <c r="A178" s="1" t="n">
        <f aca="false">Campaign_data!A178</f>
        <v>177</v>
      </c>
      <c r="B178" s="1" t="n">
        <f aca="false">Campaign_data!D178</f>
        <v>2779.1</v>
      </c>
      <c r="C178" s="1" t="n">
        <f aca="false">Campaign_data!K178</f>
        <v>0.481418444820266</v>
      </c>
      <c r="D178" s="1" t="n">
        <f aca="false">B178</f>
        <v>2779.1</v>
      </c>
      <c r="E178" s="1" t="n">
        <f aca="false">C178</f>
        <v>0.481418444820266</v>
      </c>
      <c r="F178" s="1" t="n">
        <f aca="false">IFERROR(D178*E178,"")</f>
        <v>1337.91</v>
      </c>
      <c r="G178" s="1" t="n">
        <f aca="false">Campaign_data!F178</f>
        <v>1337.91</v>
      </c>
    </row>
    <row r="179" customFormat="false" ht="12.8" hidden="false" customHeight="false" outlineLevel="0" collapsed="false">
      <c r="A179" s="1" t="n">
        <f aca="false">Campaign_data!A179</f>
        <v>178</v>
      </c>
      <c r="B179" s="1" t="n">
        <f aca="false">Campaign_data!D179</f>
        <v>1775.95</v>
      </c>
      <c r="C179" s="1" t="n">
        <f aca="false">Campaign_data!K179</f>
        <v>0.556440215096146</v>
      </c>
      <c r="D179" s="1" t="n">
        <f aca="false">B179</f>
        <v>1775.95</v>
      </c>
      <c r="E179" s="1" t="n">
        <f aca="false">C179</f>
        <v>0.556440215096146</v>
      </c>
      <c r="F179" s="1" t="n">
        <f aca="false">IFERROR(D179*E179,"")</f>
        <v>988.210000000001</v>
      </c>
      <c r="G179" s="1" t="n">
        <f aca="false">Campaign_data!F179</f>
        <v>988.21</v>
      </c>
    </row>
    <row r="180" customFormat="false" ht="12.8" hidden="false" customHeight="false" outlineLevel="0" collapsed="false">
      <c r="A180" s="1" t="n">
        <f aca="false">Campaign_data!A180</f>
        <v>179</v>
      </c>
      <c r="B180" s="1" t="n">
        <f aca="false">Campaign_data!D180</f>
        <v>1412.74</v>
      </c>
      <c r="C180" s="1" t="n">
        <f aca="false">Campaign_data!K180</f>
        <v>0.426009032093662</v>
      </c>
      <c r="D180" s="1" t="n">
        <f aca="false">B180</f>
        <v>1412.74</v>
      </c>
      <c r="E180" s="1" t="n">
        <f aca="false">C180</f>
        <v>0.426009032093662</v>
      </c>
      <c r="F180" s="1" t="n">
        <f aca="false">IFERROR(D180*E180,"")</f>
        <v>601.84</v>
      </c>
      <c r="G180" s="1" t="n">
        <f aca="false">Campaign_data!F180</f>
        <v>601.84</v>
      </c>
    </row>
    <row r="181" customFormat="false" ht="12.8" hidden="true" customHeight="false" outlineLevel="0" collapsed="false">
      <c r="A181" s="1" t="n">
        <f aca="false">Campaign_data!A181</f>
        <v>180</v>
      </c>
      <c r="B181" s="1" t="n">
        <f aca="false">Campaign_data!D181</f>
        <v>0</v>
      </c>
      <c r="C181" s="1" t="str">
        <f aca="false">Campaign_data!K181</f>
        <v/>
      </c>
      <c r="D181" s="1" t="n">
        <f aca="false">B181</f>
        <v>0</v>
      </c>
      <c r="E181" s="1" t="str">
        <f aca="false">C181</f>
        <v/>
      </c>
      <c r="F181" s="1" t="str">
        <f aca="false">IFERROR(D181*E181,"")</f>
        <v/>
      </c>
      <c r="G181" s="1" t="n">
        <f aca="false">Campaign_data!F181</f>
        <v>8697.26</v>
      </c>
    </row>
    <row r="182" customFormat="false" ht="12.8" hidden="false" customHeight="false" outlineLevel="0" collapsed="false">
      <c r="A182" s="1" t="n">
        <f aca="false">Campaign_data!A182</f>
        <v>181</v>
      </c>
      <c r="B182" s="1" t="n">
        <f aca="false">Campaign_data!D182</f>
        <v>1792</v>
      </c>
      <c r="C182" s="1" t="n">
        <f aca="false">Campaign_data!K182</f>
        <v>0.383286830357143</v>
      </c>
      <c r="D182" s="1" t="n">
        <f aca="false">B182</f>
        <v>1792</v>
      </c>
      <c r="E182" s="1" t="n">
        <f aca="false">C182</f>
        <v>0.383286830357143</v>
      </c>
      <c r="F182" s="1" t="n">
        <f aca="false">IFERROR(D182*E182,"")</f>
        <v>686.85</v>
      </c>
      <c r="G182" s="1" t="n">
        <f aca="false">Campaign_data!F182</f>
        <v>686.85</v>
      </c>
    </row>
    <row r="183" customFormat="false" ht="12.8" hidden="false" customHeight="false" outlineLevel="0" collapsed="false">
      <c r="A183" s="1" t="n">
        <f aca="false">Campaign_data!A183</f>
        <v>182</v>
      </c>
      <c r="B183" s="1" t="n">
        <f aca="false">Campaign_data!D183</f>
        <v>5858.6</v>
      </c>
      <c r="C183" s="1" t="n">
        <f aca="false">Campaign_data!K183</f>
        <v>0.541695968320076</v>
      </c>
      <c r="D183" s="1" t="n">
        <f aca="false">B183</f>
        <v>5858.6</v>
      </c>
      <c r="E183" s="1" t="n">
        <f aca="false">C183</f>
        <v>0.541695968320076</v>
      </c>
      <c r="F183" s="1" t="n">
        <f aca="false">IFERROR(D183*E183,"")</f>
        <v>3173.58</v>
      </c>
      <c r="G183" s="1" t="n">
        <f aca="false">Campaign_data!F183</f>
        <v>3173.58</v>
      </c>
    </row>
    <row r="184" customFormat="false" ht="12.8" hidden="true" customHeight="false" outlineLevel="0" collapsed="false">
      <c r="A184" s="1" t="n">
        <f aca="false">Campaign_data!A184</f>
        <v>183</v>
      </c>
      <c r="B184" s="1" t="n">
        <f aca="false">Campaign_data!D184</f>
        <v>0</v>
      </c>
      <c r="C184" s="1" t="str">
        <f aca="false">Campaign_data!K184</f>
        <v/>
      </c>
      <c r="D184" s="1" t="n">
        <f aca="false">B184</f>
        <v>0</v>
      </c>
      <c r="E184" s="1" t="str">
        <f aca="false">C184</f>
        <v/>
      </c>
      <c r="F184" s="1" t="str">
        <f aca="false">IFERROR(D184*E184,"")</f>
        <v/>
      </c>
      <c r="G184" s="1" t="n">
        <f aca="false">Campaign_data!F184</f>
        <v>0</v>
      </c>
    </row>
    <row r="185" customFormat="false" ht="12.8" hidden="false" customHeight="false" outlineLevel="0" collapsed="false">
      <c r="A185" s="1" t="n">
        <f aca="false">Campaign_data!A185</f>
        <v>184</v>
      </c>
      <c r="B185" s="1" t="n">
        <f aca="false">Campaign_data!D185</f>
        <v>150.47</v>
      </c>
      <c r="C185" s="1" t="n">
        <f aca="false">Campaign_data!K185</f>
        <v>0</v>
      </c>
      <c r="D185" s="1" t="n">
        <f aca="false">B185</f>
        <v>150.47</v>
      </c>
      <c r="E185" s="1" t="n">
        <f aca="false">C185</f>
        <v>0</v>
      </c>
      <c r="F185" s="1" t="n">
        <f aca="false">IFERROR(D185*E185,"")</f>
        <v>0</v>
      </c>
      <c r="G185" s="1" t="n">
        <f aca="false">Campaign_data!F185</f>
        <v>0</v>
      </c>
    </row>
    <row r="186" customFormat="false" ht="12.8" hidden="true" customHeight="false" outlineLevel="0" collapsed="false">
      <c r="A186" s="1" t="n">
        <f aca="false">Campaign_data!A186</f>
        <v>185</v>
      </c>
      <c r="B186" s="1" t="n">
        <f aca="false">Campaign_data!D186</f>
        <v>0</v>
      </c>
      <c r="C186" s="1" t="str">
        <f aca="false">Campaign_data!K186</f>
        <v/>
      </c>
      <c r="D186" s="1" t="n">
        <f aca="false">B186</f>
        <v>0</v>
      </c>
      <c r="E186" s="1" t="str">
        <f aca="false">C186</f>
        <v/>
      </c>
      <c r="F186" s="1" t="str">
        <f aca="false">IFERROR(D186*E186,"")</f>
        <v/>
      </c>
      <c r="G186" s="1" t="n">
        <f aca="false">Campaign_data!F186</f>
        <v>0</v>
      </c>
    </row>
    <row r="187" customFormat="false" ht="12.8" hidden="false" customHeight="false" outlineLevel="0" collapsed="false">
      <c r="A187" s="1" t="n">
        <f aca="false">Campaign_data!A187</f>
        <v>186</v>
      </c>
      <c r="B187" s="1" t="n">
        <f aca="false">Campaign_data!D187</f>
        <v>6515.65</v>
      </c>
      <c r="C187" s="1" t="n">
        <f aca="false">Campaign_data!K187</f>
        <v>0.467577294667455</v>
      </c>
      <c r="D187" s="1" t="n">
        <f aca="false">B187</f>
        <v>6515.65</v>
      </c>
      <c r="E187" s="1" t="n">
        <f aca="false">C187</f>
        <v>0.467577294667455</v>
      </c>
      <c r="F187" s="1" t="n">
        <f aca="false">IFERROR(D187*E187,"")</f>
        <v>3046.57</v>
      </c>
      <c r="G187" s="1" t="n">
        <f aca="false">Campaign_data!F187</f>
        <v>3046.57</v>
      </c>
    </row>
    <row r="188" customFormat="false" ht="12.8" hidden="false" customHeight="false" outlineLevel="0" collapsed="false">
      <c r="A188" s="1" t="n">
        <f aca="false">Campaign_data!A188</f>
        <v>187</v>
      </c>
      <c r="B188" s="1" t="n">
        <f aca="false">Campaign_data!D188</f>
        <v>794.18</v>
      </c>
      <c r="C188" s="1" t="n">
        <f aca="false">Campaign_data!K188</f>
        <v>0.312183635951548</v>
      </c>
      <c r="D188" s="1" t="n">
        <f aca="false">B188</f>
        <v>794.18</v>
      </c>
      <c r="E188" s="1" t="n">
        <f aca="false">C188</f>
        <v>0.312183635951548</v>
      </c>
      <c r="F188" s="1" t="n">
        <f aca="false">IFERROR(D188*E188,"")</f>
        <v>247.93</v>
      </c>
      <c r="G188" s="1" t="n">
        <f aca="false">Campaign_data!F188</f>
        <v>247.93</v>
      </c>
    </row>
    <row r="189" customFormat="false" ht="12.8" hidden="false" customHeight="false" outlineLevel="0" collapsed="false">
      <c r="A189" s="1" t="n">
        <f aca="false">Campaign_data!A189</f>
        <v>188</v>
      </c>
      <c r="B189" s="1" t="n">
        <f aca="false">Campaign_data!D189</f>
        <v>141.38</v>
      </c>
      <c r="C189" s="1" t="n">
        <f aca="false">Campaign_data!K189</f>
        <v>0.223794030273023</v>
      </c>
      <c r="D189" s="1" t="n">
        <f aca="false">B189</f>
        <v>141.38</v>
      </c>
      <c r="E189" s="1" t="n">
        <f aca="false">C189</f>
        <v>0.223794030273023</v>
      </c>
      <c r="F189" s="1" t="n">
        <f aca="false">IFERROR(D189*E189,"")</f>
        <v>31.64</v>
      </c>
      <c r="G189" s="1" t="n">
        <f aca="false">Campaign_data!F189</f>
        <v>31.64</v>
      </c>
    </row>
    <row r="190" customFormat="false" ht="12.8" hidden="false" customHeight="false" outlineLevel="0" collapsed="false">
      <c r="A190" s="1" t="n">
        <f aca="false">Campaign_data!A190</f>
        <v>189</v>
      </c>
      <c r="B190" s="1" t="n">
        <f aca="false">Campaign_data!D190</f>
        <v>403.69</v>
      </c>
      <c r="C190" s="1" t="n">
        <f aca="false">Campaign_data!K190</f>
        <v>0</v>
      </c>
      <c r="D190" s="1" t="n">
        <f aca="false">B190</f>
        <v>403.69</v>
      </c>
      <c r="E190" s="1" t="n">
        <f aca="false">C190</f>
        <v>0</v>
      </c>
      <c r="F190" s="1" t="n">
        <f aca="false">IFERROR(D190*E190,"")</f>
        <v>0</v>
      </c>
      <c r="G190" s="1" t="n">
        <f aca="false">Campaign_data!F190</f>
        <v>0</v>
      </c>
    </row>
    <row r="191" customFormat="false" ht="12.8" hidden="true" customHeight="false" outlineLevel="0" collapsed="false">
      <c r="A191" s="1" t="n">
        <f aca="false">Campaign_data!A191</f>
        <v>190</v>
      </c>
      <c r="B191" s="1" t="n">
        <f aca="false">Campaign_data!D191</f>
        <v>0</v>
      </c>
      <c r="C191" s="1" t="str">
        <f aca="false">Campaign_data!K191</f>
        <v/>
      </c>
      <c r="D191" s="1" t="n">
        <f aca="false">B191</f>
        <v>0</v>
      </c>
      <c r="E191" s="1" t="str">
        <f aca="false">C191</f>
        <v/>
      </c>
      <c r="F191" s="1" t="str">
        <f aca="false">IFERROR(D191*E191,"")</f>
        <v/>
      </c>
      <c r="G191" s="1" t="n">
        <f aca="false">Campaign_data!F191</f>
        <v>527.66</v>
      </c>
    </row>
    <row r="192" customFormat="false" ht="12.8" hidden="true" customHeight="false" outlineLevel="0" collapsed="false">
      <c r="A192" s="1" t="n">
        <f aca="false">Campaign_data!A192</f>
        <v>191</v>
      </c>
      <c r="B192" s="1" t="n">
        <f aca="false">Campaign_data!D192</f>
        <v>0</v>
      </c>
      <c r="C192" s="1" t="str">
        <f aca="false">Campaign_data!K192</f>
        <v/>
      </c>
      <c r="D192" s="1" t="n">
        <f aca="false">B192</f>
        <v>0</v>
      </c>
      <c r="E192" s="1" t="str">
        <f aca="false">C192</f>
        <v/>
      </c>
      <c r="F192" s="1" t="str">
        <f aca="false">IFERROR(D192*E192,"")</f>
        <v/>
      </c>
      <c r="G192" s="1" t="n">
        <f aca="false">Campaign_data!F192</f>
        <v>0</v>
      </c>
    </row>
    <row r="193" customFormat="false" ht="12.8" hidden="true" customHeight="false" outlineLevel="0" collapsed="false">
      <c r="A193" s="1" t="n">
        <f aca="false">Campaign_data!A193</f>
        <v>192</v>
      </c>
      <c r="B193" s="1" t="n">
        <f aca="false">Campaign_data!D193</f>
        <v>0</v>
      </c>
      <c r="C193" s="1" t="str">
        <f aca="false">Campaign_data!K193</f>
        <v/>
      </c>
      <c r="D193" s="1" t="n">
        <f aca="false">B193</f>
        <v>0</v>
      </c>
      <c r="E193" s="1" t="str">
        <f aca="false">C193</f>
        <v/>
      </c>
      <c r="F193" s="1" t="str">
        <f aca="false">IFERROR(D193*E193,"")</f>
        <v/>
      </c>
      <c r="G193" s="1" t="n">
        <f aca="false">Campaign_data!F193</f>
        <v>37.26</v>
      </c>
    </row>
    <row r="194" customFormat="false" ht="12.8" hidden="true" customHeight="false" outlineLevel="0" collapsed="false">
      <c r="A194" s="1" t="n">
        <f aca="false">Campaign_data!A194</f>
        <v>193</v>
      </c>
      <c r="B194" s="1" t="n">
        <f aca="false">Campaign_data!D194</f>
        <v>0</v>
      </c>
      <c r="C194" s="1" t="str">
        <f aca="false">Campaign_data!K194</f>
        <v/>
      </c>
      <c r="D194" s="1" t="n">
        <f aca="false">B194</f>
        <v>0</v>
      </c>
      <c r="E194" s="1" t="str">
        <f aca="false">C194</f>
        <v/>
      </c>
      <c r="F194" s="1" t="str">
        <f aca="false">IFERROR(D194*E194,"")</f>
        <v/>
      </c>
      <c r="G194" s="1" t="n">
        <f aca="false">Campaign_data!F194</f>
        <v>1640.08</v>
      </c>
    </row>
    <row r="195" customFormat="false" ht="12.8" hidden="true" customHeight="false" outlineLevel="0" collapsed="false">
      <c r="A195" s="1" t="n">
        <f aca="false">Campaign_data!A195</f>
        <v>194</v>
      </c>
      <c r="B195" s="1" t="n">
        <f aca="false">Campaign_data!D195</f>
        <v>0</v>
      </c>
      <c r="C195" s="1" t="str">
        <f aca="false">Campaign_data!K195</f>
        <v/>
      </c>
      <c r="D195" s="1" t="n">
        <f aca="false">B195</f>
        <v>0</v>
      </c>
      <c r="E195" s="1" t="str">
        <f aca="false">C195</f>
        <v/>
      </c>
      <c r="F195" s="1" t="str">
        <f aca="false">IFERROR(D195*E195,"")</f>
        <v/>
      </c>
      <c r="G195" s="1" t="n">
        <f aca="false">Campaign_data!F195</f>
        <v>24593.15</v>
      </c>
    </row>
    <row r="196" customFormat="false" ht="12.8" hidden="false" customHeight="false" outlineLevel="0" collapsed="false">
      <c r="A196" s="1" t="n">
        <f aca="false">Campaign_data!A196</f>
        <v>195</v>
      </c>
      <c r="B196" s="1" t="n">
        <f aca="false">Campaign_data!D196</f>
        <v>1540.06</v>
      </c>
      <c r="C196" s="1" t="n">
        <f aca="false">Campaign_data!K196</f>
        <v>0.295209277560615</v>
      </c>
      <c r="D196" s="1" t="n">
        <f aca="false">B196</f>
        <v>1540.06</v>
      </c>
      <c r="E196" s="1" t="n">
        <f aca="false">C196</f>
        <v>0.295209277560615</v>
      </c>
      <c r="F196" s="1" t="n">
        <f aca="false">IFERROR(D196*E196,"")</f>
        <v>454.640000000001</v>
      </c>
      <c r="G196" s="1" t="n">
        <f aca="false">Campaign_data!F196</f>
        <v>454.64</v>
      </c>
    </row>
    <row r="197" customFormat="false" ht="12.8" hidden="true" customHeight="false" outlineLevel="0" collapsed="false">
      <c r="A197" s="1" t="n">
        <f aca="false">Campaign_data!A197</f>
        <v>196</v>
      </c>
      <c r="B197" s="1" t="n">
        <f aca="false">Campaign_data!D197</f>
        <v>0</v>
      </c>
      <c r="C197" s="1" t="str">
        <f aca="false">Campaign_data!K197</f>
        <v/>
      </c>
      <c r="D197" s="1" t="n">
        <f aca="false">B197</f>
        <v>0</v>
      </c>
      <c r="E197" s="1" t="str">
        <f aca="false">C197</f>
        <v/>
      </c>
      <c r="F197" s="1" t="str">
        <f aca="false">IFERROR(D197*E197,"")</f>
        <v/>
      </c>
      <c r="G197" s="1" t="n">
        <f aca="false">Campaign_data!F197</f>
        <v>0</v>
      </c>
    </row>
    <row r="198" customFormat="false" ht="12.8" hidden="false" customHeight="false" outlineLevel="0" collapsed="false">
      <c r="A198" s="1" t="n">
        <f aca="false">Campaign_data!A198</f>
        <v>197</v>
      </c>
      <c r="B198" s="1" t="n">
        <f aca="false">Campaign_data!D198</f>
        <v>1017.78</v>
      </c>
      <c r="C198" s="1" t="n">
        <f aca="false">Campaign_data!K198</f>
        <v>0.321523315451276</v>
      </c>
      <c r="D198" s="1" t="n">
        <f aca="false">B198</f>
        <v>1017.78</v>
      </c>
      <c r="E198" s="1" t="n">
        <f aca="false">C198</f>
        <v>0.321523315451276</v>
      </c>
      <c r="F198" s="1" t="n">
        <f aca="false">IFERROR(D198*E198,"")</f>
        <v>327.24</v>
      </c>
      <c r="G198" s="1" t="n">
        <f aca="false">Campaign_data!F198</f>
        <v>327.24</v>
      </c>
    </row>
    <row r="199" customFormat="false" ht="12.8" hidden="false" customHeight="false" outlineLevel="0" collapsed="false">
      <c r="A199" s="1" t="n">
        <f aca="false">Campaign_data!A199</f>
        <v>198</v>
      </c>
      <c r="B199" s="1" t="n">
        <f aca="false">Campaign_data!D199</f>
        <v>219.32</v>
      </c>
      <c r="C199" s="1" t="n">
        <f aca="false">Campaign_data!K199</f>
        <v>3.23518146999818</v>
      </c>
      <c r="D199" s="1" t="n">
        <f aca="false">B199+(B42*5%)</f>
        <v>484.7635</v>
      </c>
      <c r="E199" s="1" t="n">
        <f aca="false">C199</f>
        <v>3.23518146999818</v>
      </c>
      <c r="F199" s="1" t="n">
        <f aca="false">IFERROR(D199*E199,"")</f>
        <v>1568.29789253146</v>
      </c>
      <c r="G199" s="1" t="n">
        <f aca="false">Campaign_data!F199</f>
        <v>709.54</v>
      </c>
    </row>
    <row r="200" customFormat="false" ht="12.8" hidden="false" customHeight="false" outlineLevel="0" collapsed="false">
      <c r="A200" s="1" t="n">
        <f aca="false">Campaign_data!A200</f>
        <v>199</v>
      </c>
      <c r="B200" s="1" t="n">
        <f aca="false">Campaign_data!D200</f>
        <v>6761.28</v>
      </c>
      <c r="C200" s="1" t="n">
        <f aca="false">Campaign_data!K200</f>
        <v>0.537257738179753</v>
      </c>
      <c r="D200" s="1" t="n">
        <f aca="false">B200</f>
        <v>6761.28</v>
      </c>
      <c r="E200" s="1" t="n">
        <f aca="false">C200</f>
        <v>0.537257738179753</v>
      </c>
      <c r="F200" s="1" t="n">
        <f aca="false">IFERROR(D200*E200,"")</f>
        <v>3632.55</v>
      </c>
      <c r="G200" s="1" t="n">
        <f aca="false">Campaign_data!F200</f>
        <v>3632.55</v>
      </c>
    </row>
    <row r="201" customFormat="false" ht="12.8" hidden="true" customHeight="false" outlineLevel="0" collapsed="false">
      <c r="A201" s="1" t="n">
        <f aca="false">Campaign_data!A201</f>
        <v>200</v>
      </c>
      <c r="B201" s="1" t="n">
        <f aca="false">Campaign_data!D201</f>
        <v>0</v>
      </c>
      <c r="C201" s="1" t="str">
        <f aca="false">Campaign_data!K201</f>
        <v/>
      </c>
      <c r="D201" s="1" t="n">
        <f aca="false">B201</f>
        <v>0</v>
      </c>
      <c r="E201" s="1" t="str">
        <f aca="false">C201</f>
        <v/>
      </c>
      <c r="F201" s="1" t="str">
        <f aca="false">IFERROR(D201*E201,"")</f>
        <v/>
      </c>
      <c r="G201" s="1" t="n">
        <f aca="false">Campaign_data!F201</f>
        <v>3444.78</v>
      </c>
    </row>
    <row r="202" customFormat="false" ht="12.8" hidden="true" customHeight="false" outlineLevel="0" collapsed="false">
      <c r="A202" s="1" t="n">
        <f aca="false">Campaign_data!A202</f>
        <v>201</v>
      </c>
      <c r="B202" s="1" t="n">
        <f aca="false">Campaign_data!D202</f>
        <v>0</v>
      </c>
      <c r="C202" s="1" t="str">
        <f aca="false">Campaign_data!K202</f>
        <v/>
      </c>
      <c r="D202" s="1" t="n">
        <f aca="false">B202</f>
        <v>0</v>
      </c>
      <c r="E202" s="1" t="str">
        <f aca="false">C202</f>
        <v/>
      </c>
      <c r="F202" s="1" t="str">
        <f aca="false">IFERROR(D202*E202,"")</f>
        <v/>
      </c>
      <c r="G202" s="1" t="n">
        <f aca="false">Campaign_data!F202</f>
        <v>0</v>
      </c>
    </row>
    <row r="203" customFormat="false" ht="12.8" hidden="false" customHeight="false" outlineLevel="0" collapsed="false">
      <c r="A203" s="1" t="n">
        <f aca="false">Campaign_data!A203</f>
        <v>202</v>
      </c>
      <c r="B203" s="1" t="n">
        <f aca="false">Campaign_data!D203</f>
        <v>1619.47</v>
      </c>
      <c r="C203" s="1" t="n">
        <f aca="false">Campaign_data!K203</f>
        <v>0.753715721810222</v>
      </c>
      <c r="D203" s="1" t="n">
        <f aca="false">B203</f>
        <v>1619.47</v>
      </c>
      <c r="E203" s="1" t="n">
        <f aca="false">C203</f>
        <v>0.753715721810222</v>
      </c>
      <c r="F203" s="1" t="n">
        <f aca="false">IFERROR(D203*E203,"")</f>
        <v>1220.62</v>
      </c>
      <c r="G203" s="1" t="n">
        <f aca="false">Campaign_data!F203</f>
        <v>1220.62</v>
      </c>
    </row>
    <row r="204" customFormat="false" ht="12.8" hidden="false" customHeight="false" outlineLevel="0" collapsed="false">
      <c r="A204" s="1" t="n">
        <f aca="false">Campaign_data!A204</f>
        <v>203</v>
      </c>
      <c r="B204" s="1" t="n">
        <f aca="false">Campaign_data!D204</f>
        <v>1057.58</v>
      </c>
      <c r="C204" s="1" t="n">
        <f aca="false">Campaign_data!K204</f>
        <v>0.249049717279071</v>
      </c>
      <c r="D204" s="1" t="n">
        <f aca="false">B204</f>
        <v>1057.58</v>
      </c>
      <c r="E204" s="1" t="n">
        <f aca="false">C204</f>
        <v>0.249049717279071</v>
      </c>
      <c r="F204" s="1" t="n">
        <f aca="false">IFERROR(D204*E204,"")</f>
        <v>263.39</v>
      </c>
      <c r="G204" s="1" t="n">
        <f aca="false">Campaign_data!F204</f>
        <v>263.39</v>
      </c>
    </row>
    <row r="205" customFormat="false" ht="12.8" hidden="false" customHeight="false" outlineLevel="0" collapsed="false">
      <c r="A205" s="1" t="n">
        <f aca="false">Campaign_data!A205</f>
        <v>204</v>
      </c>
      <c r="B205" s="1" t="n">
        <f aca="false">Campaign_data!D205</f>
        <v>911.34</v>
      </c>
      <c r="C205" s="1" t="n">
        <f aca="false">Campaign_data!K205</f>
        <v>0.175883863322141</v>
      </c>
      <c r="D205" s="1" t="n">
        <f aca="false">B205</f>
        <v>911.34</v>
      </c>
      <c r="E205" s="1" t="n">
        <f aca="false">C205</f>
        <v>0.175883863322141</v>
      </c>
      <c r="F205" s="1" t="n">
        <f aca="false">IFERROR(D205*E205,"")</f>
        <v>160.29</v>
      </c>
      <c r="G205" s="1" t="n">
        <f aca="false">Campaign_data!F205</f>
        <v>160.29</v>
      </c>
    </row>
    <row r="206" customFormat="false" ht="12.8" hidden="false" customHeight="false" outlineLevel="0" collapsed="false">
      <c r="A206" s="1" t="n">
        <f aca="false">Campaign_data!A206</f>
        <v>205</v>
      </c>
      <c r="B206" s="1" t="n">
        <f aca="false">Campaign_data!D206</f>
        <v>16087.88</v>
      </c>
      <c r="C206" s="1" t="n">
        <f aca="false">Campaign_data!K206</f>
        <v>0.531810282025973</v>
      </c>
      <c r="D206" s="1" t="n">
        <f aca="false">B206</f>
        <v>16087.88</v>
      </c>
      <c r="E206" s="1" t="n">
        <f aca="false">C206</f>
        <v>0.531810282025973</v>
      </c>
      <c r="F206" s="1" t="n">
        <f aca="false">IFERROR(D206*E206,"")</f>
        <v>8555.70000000001</v>
      </c>
      <c r="G206" s="1" t="n">
        <f aca="false">Campaign_data!F206</f>
        <v>8555.7</v>
      </c>
    </row>
    <row r="207" customFormat="false" ht="12.8" hidden="false" customHeight="false" outlineLevel="0" collapsed="false">
      <c r="A207" s="1" t="n">
        <f aca="false">Campaign_data!A207</f>
        <v>206</v>
      </c>
      <c r="B207" s="1" t="n">
        <f aca="false">Campaign_data!D207</f>
        <v>151.94</v>
      </c>
      <c r="C207" s="1" t="n">
        <f aca="false">Campaign_data!K207</f>
        <v>0</v>
      </c>
      <c r="D207" s="1" t="n">
        <f aca="false">B207</f>
        <v>151.94</v>
      </c>
      <c r="E207" s="1" t="n">
        <f aca="false">C207</f>
        <v>0</v>
      </c>
      <c r="F207" s="1" t="n">
        <f aca="false">IFERROR(D207*E207,"")</f>
        <v>0</v>
      </c>
      <c r="G207" s="1" t="n">
        <f aca="false">Campaign_data!F207</f>
        <v>0</v>
      </c>
    </row>
    <row r="208" customFormat="false" ht="12.8" hidden="false" customHeight="false" outlineLevel="0" collapsed="false">
      <c r="A208" s="1" t="n">
        <f aca="false">Campaign_data!A208</f>
        <v>207</v>
      </c>
      <c r="B208" s="1" t="n">
        <f aca="false">Campaign_data!D208</f>
        <v>615.15</v>
      </c>
      <c r="C208" s="1" t="n">
        <f aca="false">Campaign_data!K208</f>
        <v>0.14368853125254</v>
      </c>
      <c r="D208" s="1" t="n">
        <f aca="false">B208</f>
        <v>615.15</v>
      </c>
      <c r="E208" s="1" t="n">
        <f aca="false">C208</f>
        <v>0.14368853125254</v>
      </c>
      <c r="F208" s="1" t="n">
        <f aca="false">IFERROR(D208*E208,"")</f>
        <v>88.39</v>
      </c>
      <c r="G208" s="1" t="n">
        <f aca="false">Campaign_data!F208</f>
        <v>88.39</v>
      </c>
    </row>
    <row r="209" customFormat="false" ht="12.8" hidden="false" customHeight="false" outlineLevel="0" collapsed="false">
      <c r="A209" s="1" t="n">
        <f aca="false">Campaign_data!A209</f>
        <v>208</v>
      </c>
      <c r="B209" s="1" t="n">
        <f aca="false">Campaign_data!D209</f>
        <v>3202.09</v>
      </c>
      <c r="C209" s="1" t="n">
        <f aca="false">Campaign_data!K209</f>
        <v>0.62259649166638</v>
      </c>
      <c r="D209" s="1" t="n">
        <f aca="false">B209</f>
        <v>3202.09</v>
      </c>
      <c r="E209" s="1" t="n">
        <f aca="false">C209</f>
        <v>0.62259649166638</v>
      </c>
      <c r="F209" s="1" t="n">
        <f aca="false">IFERROR(D209*E209,"")</f>
        <v>1993.61</v>
      </c>
      <c r="G209" s="1" t="n">
        <f aca="false">Campaign_data!F209</f>
        <v>1993.61</v>
      </c>
    </row>
    <row r="210" customFormat="false" ht="12.8" hidden="true" customHeight="false" outlineLevel="0" collapsed="false">
      <c r="A210" s="1" t="n">
        <f aca="false">Campaign_data!A210</f>
        <v>209</v>
      </c>
      <c r="B210" s="1" t="n">
        <f aca="false">Campaign_data!D210</f>
        <v>0</v>
      </c>
      <c r="C210" s="1" t="str">
        <f aca="false">Campaign_data!K210</f>
        <v/>
      </c>
      <c r="D210" s="1" t="n">
        <f aca="false">B210</f>
        <v>0</v>
      </c>
      <c r="E210" s="1" t="str">
        <f aca="false">C210</f>
        <v/>
      </c>
      <c r="F210" s="1" t="str">
        <f aca="false">IFERROR(D210*E210,"")</f>
        <v/>
      </c>
      <c r="G210" s="1" t="n">
        <f aca="false">Campaign_data!F210</f>
        <v>2583.78</v>
      </c>
    </row>
    <row r="211" customFormat="false" ht="12.8" hidden="true" customHeight="false" outlineLevel="0" collapsed="false">
      <c r="A211" s="1" t="n">
        <f aca="false">Campaign_data!A211</f>
        <v>210</v>
      </c>
      <c r="B211" s="1" t="n">
        <f aca="false">Campaign_data!D211</f>
        <v>0</v>
      </c>
      <c r="C211" s="1" t="str">
        <f aca="false">Campaign_data!K211</f>
        <v/>
      </c>
      <c r="D211" s="1" t="n">
        <f aca="false">B211</f>
        <v>0</v>
      </c>
      <c r="E211" s="1" t="str">
        <f aca="false">C211</f>
        <v/>
      </c>
      <c r="F211" s="1" t="str">
        <f aca="false">IFERROR(D211*E211,"")</f>
        <v/>
      </c>
      <c r="G211" s="1" t="n">
        <f aca="false">Campaign_data!F211</f>
        <v>944.15</v>
      </c>
    </row>
    <row r="212" customFormat="false" ht="12.8" hidden="false" customHeight="false" outlineLevel="0" collapsed="false">
      <c r="A212" s="1" t="n">
        <f aca="false">Campaign_data!A212</f>
        <v>211</v>
      </c>
      <c r="B212" s="1" t="n">
        <f aca="false">Campaign_data!D212</f>
        <v>1975.17</v>
      </c>
      <c r="C212" s="1" t="n">
        <f aca="false">Campaign_data!K212</f>
        <v>0.454290010480111</v>
      </c>
      <c r="D212" s="1" t="n">
        <f aca="false">B212</f>
        <v>1975.17</v>
      </c>
      <c r="E212" s="1" t="n">
        <f aca="false">C212</f>
        <v>0.454290010480111</v>
      </c>
      <c r="F212" s="1" t="n">
        <f aca="false">IFERROR(D212*E212,"")</f>
        <v>897.300000000001</v>
      </c>
      <c r="G212" s="1" t="n">
        <f aca="false">Campaign_data!F212</f>
        <v>897.3</v>
      </c>
    </row>
    <row r="213" customFormat="false" ht="12.8" hidden="true" customHeight="false" outlineLevel="0" collapsed="false">
      <c r="A213" s="1" t="n">
        <f aca="false">Campaign_data!A213</f>
        <v>212</v>
      </c>
      <c r="B213" s="1" t="n">
        <f aca="false">Campaign_data!D213</f>
        <v>0</v>
      </c>
      <c r="C213" s="1" t="str">
        <f aca="false">Campaign_data!K213</f>
        <v/>
      </c>
      <c r="D213" s="1" t="n">
        <f aca="false">B213</f>
        <v>0</v>
      </c>
      <c r="E213" s="1" t="str">
        <f aca="false">C213</f>
        <v/>
      </c>
      <c r="F213" s="1" t="str">
        <f aca="false">IFERROR(D213*E213,"")</f>
        <v/>
      </c>
      <c r="G213" s="1" t="n">
        <f aca="false">Campaign_data!F213</f>
        <v>0</v>
      </c>
    </row>
    <row r="214" customFormat="false" ht="12.8" hidden="true" customHeight="false" outlineLevel="0" collapsed="false">
      <c r="A214" s="1" t="n">
        <f aca="false">Campaign_data!A214</f>
        <v>213</v>
      </c>
      <c r="B214" s="1" t="n">
        <f aca="false">Campaign_data!D214</f>
        <v>0</v>
      </c>
      <c r="C214" s="1" t="str">
        <f aca="false">Campaign_data!K214</f>
        <v/>
      </c>
      <c r="D214" s="1" t="n">
        <f aca="false">B214</f>
        <v>0</v>
      </c>
      <c r="E214" s="1" t="str">
        <f aca="false">C214</f>
        <v/>
      </c>
      <c r="F214" s="1" t="str">
        <f aca="false">IFERROR(D214*E214,"")</f>
        <v/>
      </c>
      <c r="G214" s="1" t="n">
        <f aca="false">Campaign_data!F214</f>
        <v>1006.8</v>
      </c>
    </row>
    <row r="215" customFormat="false" ht="12.8" hidden="false" customHeight="false" outlineLevel="0" collapsed="false">
      <c r="A215" s="1" t="n">
        <f aca="false">Campaign_data!A215</f>
        <v>214</v>
      </c>
      <c r="B215" s="1" t="n">
        <f aca="false">Campaign_data!D215</f>
        <v>3568.62</v>
      </c>
      <c r="C215" s="1" t="n">
        <f aca="false">Campaign_data!K215</f>
        <v>0.636781164707926</v>
      </c>
      <c r="D215" s="1" t="n">
        <f aca="false">B215</f>
        <v>3568.62</v>
      </c>
      <c r="E215" s="1" t="n">
        <f aca="false">C215</f>
        <v>0.636781164707926</v>
      </c>
      <c r="F215" s="1" t="n">
        <f aca="false">IFERROR(D215*E215,"")</f>
        <v>2272.43</v>
      </c>
      <c r="G215" s="1" t="n">
        <f aca="false">Campaign_data!F215</f>
        <v>2272.43</v>
      </c>
    </row>
    <row r="216" customFormat="false" ht="12.8" hidden="true" customHeight="false" outlineLevel="0" collapsed="false">
      <c r="A216" s="1" t="n">
        <f aca="false">Campaign_data!A216</f>
        <v>215</v>
      </c>
      <c r="B216" s="1" t="n">
        <f aca="false">Campaign_data!D216</f>
        <v>0</v>
      </c>
      <c r="C216" s="1" t="str">
        <f aca="false">Campaign_data!K216</f>
        <v/>
      </c>
      <c r="D216" s="1" t="n">
        <f aca="false">B216</f>
        <v>0</v>
      </c>
      <c r="E216" s="1" t="str">
        <f aca="false">C216</f>
        <v/>
      </c>
      <c r="F216" s="1" t="str">
        <f aca="false">IFERROR(D216*E216,"")</f>
        <v/>
      </c>
      <c r="G216" s="1" t="n">
        <f aca="false">Campaign_data!F216</f>
        <v>3729.84</v>
      </c>
    </row>
    <row r="217" customFormat="false" ht="12.8" hidden="true" customHeight="false" outlineLevel="0" collapsed="false">
      <c r="A217" s="1" t="n">
        <f aca="false">Campaign_data!A217</f>
        <v>216</v>
      </c>
      <c r="B217" s="1" t="n">
        <f aca="false">Campaign_data!D217</f>
        <v>0</v>
      </c>
      <c r="C217" s="1" t="str">
        <f aca="false">Campaign_data!K217</f>
        <v/>
      </c>
      <c r="D217" s="1" t="n">
        <f aca="false">B217</f>
        <v>0</v>
      </c>
      <c r="E217" s="1" t="str">
        <f aca="false">C217</f>
        <v/>
      </c>
      <c r="F217" s="1" t="str">
        <f aca="false">IFERROR(D217*E217,"")</f>
        <v/>
      </c>
      <c r="G217" s="1" t="n">
        <f aca="false">Campaign_data!F217</f>
        <v>0</v>
      </c>
    </row>
    <row r="218" customFormat="false" ht="12.8" hidden="false" customHeight="false" outlineLevel="0" collapsed="false">
      <c r="A218" s="1" t="n">
        <f aca="false">Campaign_data!A218</f>
        <v>217</v>
      </c>
      <c r="B218" s="1" t="n">
        <f aca="false">Campaign_data!D218</f>
        <v>870.56</v>
      </c>
      <c r="C218" s="1" t="n">
        <f aca="false">Campaign_data!K218</f>
        <v>0.493613306377504</v>
      </c>
      <c r="D218" s="1" t="n">
        <f aca="false">B218</f>
        <v>870.56</v>
      </c>
      <c r="E218" s="1" t="n">
        <f aca="false">C218</f>
        <v>0.493613306377504</v>
      </c>
      <c r="F218" s="1" t="n">
        <f aca="false">IFERROR(D218*E218,"")</f>
        <v>429.72</v>
      </c>
      <c r="G218" s="1" t="n">
        <f aca="false">Campaign_data!F218</f>
        <v>429.72</v>
      </c>
    </row>
    <row r="219" customFormat="false" ht="12.8" hidden="false" customHeight="false" outlineLevel="0" collapsed="false">
      <c r="A219" s="1" t="n">
        <f aca="false">Campaign_data!A219</f>
        <v>218</v>
      </c>
      <c r="B219" s="1" t="n">
        <f aca="false">Campaign_data!D219</f>
        <v>1180.22</v>
      </c>
      <c r="C219" s="1" t="n">
        <f aca="false">Campaign_data!K219</f>
        <v>0.297410652251275</v>
      </c>
      <c r="D219" s="1" t="n">
        <f aca="false">B219</f>
        <v>1180.22</v>
      </c>
      <c r="E219" s="1" t="n">
        <f aca="false">C219</f>
        <v>0.297410652251275</v>
      </c>
      <c r="F219" s="1" t="n">
        <f aca="false">IFERROR(D219*E219,"")</f>
        <v>351.01</v>
      </c>
      <c r="G219" s="1" t="n">
        <f aca="false">Campaign_data!F219</f>
        <v>351.01</v>
      </c>
    </row>
    <row r="220" customFormat="false" ht="12.8" hidden="false" customHeight="false" outlineLevel="0" collapsed="false">
      <c r="A220" s="1" t="n">
        <f aca="false">Campaign_data!A220</f>
        <v>219</v>
      </c>
      <c r="B220" s="1" t="n">
        <f aca="false">Campaign_data!D220</f>
        <v>2803.88</v>
      </c>
      <c r="C220" s="1" t="n">
        <f aca="false">Campaign_data!K220</f>
        <v>0.354248398647588</v>
      </c>
      <c r="D220" s="1" t="n">
        <f aca="false">B220</f>
        <v>2803.88</v>
      </c>
      <c r="E220" s="1" t="n">
        <f aca="false">C220</f>
        <v>0.354248398647588</v>
      </c>
      <c r="F220" s="1" t="n">
        <f aca="false">IFERROR(D220*E220,"")</f>
        <v>993.269999999999</v>
      </c>
      <c r="G220" s="1" t="n">
        <f aca="false">Campaign_data!F220</f>
        <v>993.27</v>
      </c>
    </row>
    <row r="221" customFormat="false" ht="12.8" hidden="false" customHeight="false" outlineLevel="0" collapsed="false">
      <c r="A221" s="1" t="n">
        <f aca="false">Campaign_data!A221</f>
        <v>220</v>
      </c>
      <c r="B221" s="1" t="n">
        <f aca="false">Campaign_data!D221</f>
        <v>2467.26</v>
      </c>
      <c r="C221" s="1" t="n">
        <f aca="false">Campaign_data!K221</f>
        <v>0.595717516597359</v>
      </c>
      <c r="D221" s="1" t="n">
        <f aca="false">B221</f>
        <v>2467.26</v>
      </c>
      <c r="E221" s="1" t="n">
        <f aca="false">C221</f>
        <v>0.595717516597359</v>
      </c>
      <c r="F221" s="1" t="n">
        <f aca="false">IFERROR(D221*E221,"")</f>
        <v>1469.79</v>
      </c>
      <c r="G221" s="1" t="n">
        <f aca="false">Campaign_data!F221</f>
        <v>1469.79</v>
      </c>
    </row>
    <row r="222" customFormat="false" ht="12.8" hidden="false" customHeight="false" outlineLevel="0" collapsed="false">
      <c r="A222" s="1" t="n">
        <f aca="false">Campaign_data!A222</f>
        <v>221</v>
      </c>
      <c r="B222" s="1" t="n">
        <f aca="false">Campaign_data!D222</f>
        <v>3334.48</v>
      </c>
      <c r="C222" s="1" t="n">
        <f aca="false">Campaign_data!K222</f>
        <v>0.735601952928193</v>
      </c>
      <c r="D222" s="1" t="n">
        <f aca="false">B222</f>
        <v>3334.48</v>
      </c>
      <c r="E222" s="1" t="n">
        <f aca="false">C222</f>
        <v>0.735601952928193</v>
      </c>
      <c r="F222" s="1" t="n">
        <f aca="false">IFERROR(D222*E222,"")</f>
        <v>2452.85</v>
      </c>
      <c r="G222" s="1" t="n">
        <f aca="false">Campaign_data!F222</f>
        <v>2452.85</v>
      </c>
    </row>
    <row r="223" customFormat="false" ht="12.8" hidden="true" customHeight="false" outlineLevel="0" collapsed="false">
      <c r="A223" s="1" t="n">
        <f aca="false">Campaign_data!A223</f>
        <v>222</v>
      </c>
      <c r="B223" s="1" t="n">
        <f aca="false">Campaign_data!D223</f>
        <v>0</v>
      </c>
      <c r="C223" s="1" t="str">
        <f aca="false">Campaign_data!K223</f>
        <v/>
      </c>
      <c r="D223" s="1" t="n">
        <f aca="false">B223</f>
        <v>0</v>
      </c>
      <c r="E223" s="1" t="str">
        <f aca="false">C223</f>
        <v/>
      </c>
      <c r="F223" s="1" t="str">
        <f aca="false">IFERROR(D223*E223,"")</f>
        <v/>
      </c>
      <c r="G223" s="1" t="n">
        <f aca="false">Campaign_data!F223</f>
        <v>646.85</v>
      </c>
    </row>
    <row r="224" customFormat="false" ht="12.8" hidden="false" customHeight="false" outlineLevel="0" collapsed="false">
      <c r="A224" s="1" t="n">
        <f aca="false">Campaign_data!A224</f>
        <v>223</v>
      </c>
      <c r="B224" s="1" t="n">
        <f aca="false">Campaign_data!D224</f>
        <v>1763</v>
      </c>
      <c r="C224" s="1" t="n">
        <f aca="false">Campaign_data!K224</f>
        <v>0.0583380601247873</v>
      </c>
      <c r="D224" s="1" t="n">
        <f aca="false">B224</f>
        <v>1763</v>
      </c>
      <c r="E224" s="1" t="n">
        <f aca="false">C224</f>
        <v>0.0583380601247873</v>
      </c>
      <c r="F224" s="1" t="n">
        <f aca="false">IFERROR(D224*E224,"")</f>
        <v>102.85</v>
      </c>
      <c r="G224" s="1" t="n">
        <f aca="false">Campaign_data!F224</f>
        <v>102.85</v>
      </c>
    </row>
    <row r="225" customFormat="false" ht="12.8" hidden="false" customHeight="false" outlineLevel="0" collapsed="false">
      <c r="A225" s="1" t="n">
        <f aca="false">Campaign_data!A225</f>
        <v>224</v>
      </c>
      <c r="B225" s="1" t="n">
        <f aca="false">Campaign_data!D225</f>
        <v>8575.73</v>
      </c>
      <c r="C225" s="1" t="n">
        <f aca="false">Campaign_data!K225</f>
        <v>0.728732131258797</v>
      </c>
      <c r="D225" s="1" t="n">
        <f aca="false">B225</f>
        <v>8575.73</v>
      </c>
      <c r="E225" s="1" t="n">
        <f aca="false">C225</f>
        <v>0.728732131258797</v>
      </c>
      <c r="F225" s="1" t="n">
        <f aca="false">IFERROR(D225*E225,"")</f>
        <v>6249.41</v>
      </c>
      <c r="G225" s="1" t="n">
        <f aca="false">Campaign_data!F225</f>
        <v>6249.41</v>
      </c>
    </row>
    <row r="226" customFormat="false" ht="12.8" hidden="false" customHeight="false" outlineLevel="0" collapsed="false">
      <c r="A226" s="1" t="n">
        <f aca="false">Campaign_data!A226</f>
        <v>225</v>
      </c>
      <c r="B226" s="1" t="n">
        <f aca="false">Campaign_data!D226</f>
        <v>3402.48</v>
      </c>
      <c r="C226" s="1" t="n">
        <f aca="false">Campaign_data!K226</f>
        <v>0.482189461804331</v>
      </c>
      <c r="D226" s="1" t="n">
        <f aca="false">B226</f>
        <v>3402.48</v>
      </c>
      <c r="E226" s="1" t="n">
        <f aca="false">C226</f>
        <v>0.482189461804331</v>
      </c>
      <c r="F226" s="1" t="n">
        <f aca="false">IFERROR(D226*E226,"")</f>
        <v>1640.64</v>
      </c>
      <c r="G226" s="1" t="n">
        <f aca="false">Campaign_data!F226</f>
        <v>1640.64</v>
      </c>
    </row>
    <row r="227" customFormat="false" ht="12.8" hidden="true" customHeight="false" outlineLevel="0" collapsed="false">
      <c r="A227" s="1" t="n">
        <f aca="false">Campaign_data!A227</f>
        <v>226</v>
      </c>
      <c r="B227" s="1" t="n">
        <f aca="false">Campaign_data!D227</f>
        <v>0</v>
      </c>
      <c r="C227" s="1" t="str">
        <f aca="false">Campaign_data!K227</f>
        <v/>
      </c>
      <c r="D227" s="1" t="n">
        <f aca="false">B227</f>
        <v>0</v>
      </c>
      <c r="E227" s="1" t="str">
        <f aca="false">C227</f>
        <v/>
      </c>
      <c r="F227" s="1" t="str">
        <f aca="false">IFERROR(D227*E227,"")</f>
        <v/>
      </c>
      <c r="G227" s="1" t="n">
        <f aca="false">Campaign_data!F227</f>
        <v>0</v>
      </c>
    </row>
    <row r="228" customFormat="false" ht="12.8" hidden="true" customHeight="false" outlineLevel="0" collapsed="false">
      <c r="A228" s="1" t="n">
        <f aca="false">Campaign_data!A228</f>
        <v>227</v>
      </c>
      <c r="B228" s="1" t="n">
        <f aca="false">Campaign_data!D228</f>
        <v>0</v>
      </c>
      <c r="C228" s="1" t="str">
        <f aca="false">Campaign_data!K228</f>
        <v/>
      </c>
      <c r="D228" s="1" t="n">
        <f aca="false">B228</f>
        <v>0</v>
      </c>
      <c r="E228" s="1" t="str">
        <f aca="false">C228</f>
        <v/>
      </c>
      <c r="F228" s="1" t="str">
        <f aca="false">IFERROR(D228*E228,"")</f>
        <v/>
      </c>
      <c r="G228" s="1" t="n">
        <f aca="false">Campaign_data!F228</f>
        <v>0</v>
      </c>
    </row>
    <row r="229" customFormat="false" ht="12.8" hidden="false" customHeight="false" outlineLevel="0" collapsed="false">
      <c r="A229" s="1" t="n">
        <f aca="false">Campaign_data!A229</f>
        <v>228</v>
      </c>
      <c r="B229" s="1" t="n">
        <f aca="false">Campaign_data!D229</f>
        <v>1723.48</v>
      </c>
      <c r="C229" s="1" t="n">
        <f aca="false">Campaign_data!K229</f>
        <v>0.140477406178198</v>
      </c>
      <c r="D229" s="1" t="n">
        <f aca="false">B229</f>
        <v>1723.48</v>
      </c>
      <c r="E229" s="1" t="n">
        <f aca="false">C229</f>
        <v>0.140477406178198</v>
      </c>
      <c r="F229" s="1" t="n">
        <f aca="false">IFERROR(D229*E229,"")</f>
        <v>242.110000000001</v>
      </c>
      <c r="G229" s="1" t="n">
        <f aca="false">Campaign_data!F229</f>
        <v>242.11</v>
      </c>
    </row>
    <row r="230" customFormat="false" ht="12.8" hidden="false" customHeight="false" outlineLevel="0" collapsed="false">
      <c r="A230" s="1" t="n">
        <f aca="false">Campaign_data!A230</f>
        <v>229</v>
      </c>
      <c r="B230" s="1" t="n">
        <f aca="false">Campaign_data!D230</f>
        <v>4380.31</v>
      </c>
      <c r="C230" s="1" t="n">
        <f aca="false">Campaign_data!K230</f>
        <v>0.350883841554593</v>
      </c>
      <c r="D230" s="1" t="n">
        <f aca="false">B230</f>
        <v>4380.31</v>
      </c>
      <c r="E230" s="1" t="n">
        <f aca="false">C230</f>
        <v>0.350883841554593</v>
      </c>
      <c r="F230" s="1" t="n">
        <f aca="false">IFERROR(D230*E230,"")</f>
        <v>1536.98</v>
      </c>
      <c r="G230" s="1" t="n">
        <f aca="false">Campaign_data!F230</f>
        <v>1536.98</v>
      </c>
    </row>
    <row r="231" customFormat="false" ht="12.8" hidden="false" customHeight="false" outlineLevel="0" collapsed="false">
      <c r="A231" s="1" t="n">
        <f aca="false">Campaign_data!A231</f>
        <v>230</v>
      </c>
      <c r="B231" s="1" t="n">
        <f aca="false">Campaign_data!D231</f>
        <v>5539.63</v>
      </c>
      <c r="C231" s="1" t="n">
        <f aca="false">Campaign_data!K231</f>
        <v>0.499746372952706</v>
      </c>
      <c r="D231" s="1" t="n">
        <f aca="false">B231</f>
        <v>5539.63</v>
      </c>
      <c r="E231" s="1" t="n">
        <f aca="false">C231</f>
        <v>0.499746372952706</v>
      </c>
      <c r="F231" s="1" t="n">
        <f aca="false">IFERROR(D231*E231,"")</f>
        <v>2768.41</v>
      </c>
      <c r="G231" s="1" t="n">
        <f aca="false">Campaign_data!F231</f>
        <v>2768.41</v>
      </c>
    </row>
    <row r="232" customFormat="false" ht="12.8" hidden="true" customHeight="false" outlineLevel="0" collapsed="false">
      <c r="A232" s="1" t="n">
        <f aca="false">Campaign_data!A232</f>
        <v>231</v>
      </c>
      <c r="B232" s="1" t="n">
        <f aca="false">Campaign_data!D232</f>
        <v>0</v>
      </c>
      <c r="C232" s="1" t="str">
        <f aca="false">Campaign_data!K232</f>
        <v/>
      </c>
      <c r="D232" s="1" t="n">
        <f aca="false">B232</f>
        <v>0</v>
      </c>
      <c r="E232" s="1" t="str">
        <f aca="false">C232</f>
        <v/>
      </c>
      <c r="F232" s="1" t="str">
        <f aca="false">IFERROR(D232*E232,"")</f>
        <v/>
      </c>
      <c r="G232" s="1" t="n">
        <f aca="false">Campaign_data!F232</f>
        <v>0</v>
      </c>
    </row>
    <row r="233" customFormat="false" ht="12.8" hidden="true" customHeight="false" outlineLevel="0" collapsed="false">
      <c r="A233" s="1" t="n">
        <f aca="false">Campaign_data!A233</f>
        <v>232</v>
      </c>
      <c r="B233" s="1" t="n">
        <f aca="false">Campaign_data!D233</f>
        <v>0</v>
      </c>
      <c r="C233" s="1" t="str">
        <f aca="false">Campaign_data!K233</f>
        <v/>
      </c>
      <c r="D233" s="1" t="n">
        <f aca="false">B233</f>
        <v>0</v>
      </c>
      <c r="E233" s="1" t="str">
        <f aca="false">C233</f>
        <v/>
      </c>
      <c r="F233" s="1" t="str">
        <f aca="false">IFERROR(D233*E233,"")</f>
        <v/>
      </c>
      <c r="G233" s="1" t="n">
        <f aca="false">Campaign_data!F233</f>
        <v>0</v>
      </c>
    </row>
    <row r="234" customFormat="false" ht="12.8" hidden="false" customHeight="false" outlineLevel="0" collapsed="false">
      <c r="A234" s="1" t="n">
        <f aca="false">Campaign_data!A234</f>
        <v>233</v>
      </c>
      <c r="B234" s="1" t="n">
        <f aca="false">Campaign_data!D234</f>
        <v>880.85</v>
      </c>
      <c r="C234" s="1" t="n">
        <f aca="false">Campaign_data!K234</f>
        <v>0.149707668729069</v>
      </c>
      <c r="D234" s="1" t="n">
        <f aca="false">B234</f>
        <v>880.85</v>
      </c>
      <c r="E234" s="1" t="n">
        <f aca="false">C234</f>
        <v>0.149707668729069</v>
      </c>
      <c r="F234" s="1" t="n">
        <f aca="false">IFERROR(D234*E234,"")</f>
        <v>131.87</v>
      </c>
      <c r="G234" s="1" t="n">
        <f aca="false">Campaign_data!F234</f>
        <v>131.87</v>
      </c>
    </row>
    <row r="235" customFormat="false" ht="12.8" hidden="false" customHeight="false" outlineLevel="0" collapsed="false">
      <c r="A235" s="1" t="n">
        <f aca="false">Campaign_data!A235</f>
        <v>234</v>
      </c>
      <c r="B235" s="1" t="n">
        <f aca="false">Campaign_data!D235</f>
        <v>4952.04</v>
      </c>
      <c r="C235" s="1" t="n">
        <f aca="false">Campaign_data!K235</f>
        <v>0.432080516312469</v>
      </c>
      <c r="D235" s="1" t="n">
        <f aca="false">B235</f>
        <v>4952.04</v>
      </c>
      <c r="E235" s="1" t="n">
        <f aca="false">C235</f>
        <v>0.432080516312469</v>
      </c>
      <c r="F235" s="1" t="n">
        <f aca="false">IFERROR(D235*E235,"")</f>
        <v>2139.68</v>
      </c>
      <c r="G235" s="1" t="n">
        <f aca="false">Campaign_data!F235</f>
        <v>2139.68</v>
      </c>
    </row>
    <row r="236" customFormat="false" ht="12.8" hidden="false" customHeight="false" outlineLevel="0" collapsed="false">
      <c r="A236" s="1" t="n">
        <f aca="false">Campaign_data!A236</f>
        <v>235</v>
      </c>
      <c r="B236" s="1" t="n">
        <f aca="false">Campaign_data!D236</f>
        <v>1886.19</v>
      </c>
      <c r="C236" s="1" t="n">
        <f aca="false">Campaign_data!K236</f>
        <v>0.652924678849957</v>
      </c>
      <c r="D236" s="1" t="n">
        <f aca="false">B236</f>
        <v>1886.19</v>
      </c>
      <c r="E236" s="1" t="n">
        <f aca="false">C236</f>
        <v>0.652924678849957</v>
      </c>
      <c r="F236" s="1" t="n">
        <f aca="false">IFERROR(D236*E236,"")</f>
        <v>1231.54</v>
      </c>
      <c r="G236" s="1" t="n">
        <f aca="false">Campaign_data!F236</f>
        <v>1231.54</v>
      </c>
    </row>
    <row r="237" customFormat="false" ht="12.8" hidden="true" customHeight="false" outlineLevel="0" collapsed="false">
      <c r="A237" s="1" t="n">
        <f aca="false">Campaign_data!A237</f>
        <v>236</v>
      </c>
      <c r="B237" s="1" t="n">
        <f aca="false">Campaign_data!D237</f>
        <v>0</v>
      </c>
      <c r="C237" s="1" t="str">
        <f aca="false">Campaign_data!K237</f>
        <v/>
      </c>
      <c r="D237" s="1" t="n">
        <f aca="false">B237</f>
        <v>0</v>
      </c>
      <c r="E237" s="1" t="str">
        <f aca="false">C237</f>
        <v/>
      </c>
      <c r="F237" s="1" t="str">
        <f aca="false">IFERROR(D237*E237,"")</f>
        <v/>
      </c>
      <c r="G237" s="1" t="n">
        <f aca="false">Campaign_data!F237</f>
        <v>2565.54</v>
      </c>
    </row>
    <row r="238" customFormat="false" ht="12.8" hidden="false" customHeight="false" outlineLevel="0" collapsed="false">
      <c r="A238" s="1" t="n">
        <f aca="false">Campaign_data!A238</f>
        <v>237</v>
      </c>
      <c r="B238" s="1" t="n">
        <f aca="false">Campaign_data!D238</f>
        <v>32319.08</v>
      </c>
      <c r="C238" s="1" t="n">
        <f aca="false">Campaign_data!K238</f>
        <v>0.628709109293953</v>
      </c>
      <c r="D238" s="1" t="n">
        <f aca="false">B238</f>
        <v>32319.08</v>
      </c>
      <c r="E238" s="1" t="n">
        <f aca="false">C238</f>
        <v>0.628709109293953</v>
      </c>
      <c r="F238" s="1" t="n">
        <f aca="false">IFERROR(D238*E238,"")</f>
        <v>20319.3</v>
      </c>
      <c r="G238" s="1" t="n">
        <f aca="false">Campaign_data!F238</f>
        <v>20319.3</v>
      </c>
    </row>
    <row r="239" customFormat="false" ht="12.8" hidden="false" customHeight="false" outlineLevel="0" collapsed="false">
      <c r="A239" s="1" t="n">
        <f aca="false">Campaign_data!A239</f>
        <v>238</v>
      </c>
      <c r="B239" s="1" t="n">
        <f aca="false">Campaign_data!D239</f>
        <v>358.85</v>
      </c>
      <c r="C239" s="1" t="n">
        <f aca="false">Campaign_data!K239</f>
        <v>0.873261808555107</v>
      </c>
      <c r="D239" s="1" t="n">
        <f aca="false">B239</f>
        <v>358.85</v>
      </c>
      <c r="E239" s="1" t="n">
        <f aca="false">C239</f>
        <v>0.873261808555107</v>
      </c>
      <c r="F239" s="1" t="n">
        <f aca="false">IFERROR(D239*E239,"")</f>
        <v>313.37</v>
      </c>
      <c r="G239" s="1" t="n">
        <f aca="false">Campaign_data!F239</f>
        <v>313.37</v>
      </c>
    </row>
    <row r="240" customFormat="false" ht="12.8" hidden="true" customHeight="false" outlineLevel="0" collapsed="false">
      <c r="A240" s="1" t="n">
        <f aca="false">Campaign_data!A240</f>
        <v>239</v>
      </c>
      <c r="B240" s="1" t="n">
        <f aca="false">Campaign_data!D240</f>
        <v>0</v>
      </c>
      <c r="C240" s="1" t="str">
        <f aca="false">Campaign_data!K240</f>
        <v/>
      </c>
      <c r="D240" s="1" t="n">
        <f aca="false">B240</f>
        <v>0</v>
      </c>
      <c r="E240" s="1" t="str">
        <f aca="false">C240</f>
        <v/>
      </c>
      <c r="F240" s="1" t="str">
        <f aca="false">IFERROR(D240*E240,"")</f>
        <v/>
      </c>
      <c r="G240" s="1" t="n">
        <f aca="false">Campaign_data!F240</f>
        <v>2666.16</v>
      </c>
    </row>
    <row r="241" customFormat="false" ht="12.8" hidden="true" customHeight="false" outlineLevel="0" collapsed="false">
      <c r="A241" s="1" t="n">
        <f aca="false">Campaign_data!A241</f>
        <v>240</v>
      </c>
      <c r="B241" s="1" t="n">
        <f aca="false">Campaign_data!D241</f>
        <v>0</v>
      </c>
      <c r="C241" s="1" t="str">
        <f aca="false">Campaign_data!K241</f>
        <v/>
      </c>
      <c r="D241" s="1" t="n">
        <f aca="false">B241</f>
        <v>0</v>
      </c>
      <c r="E241" s="1" t="str">
        <f aca="false">C241</f>
        <v/>
      </c>
      <c r="F241" s="1" t="str">
        <f aca="false">IFERROR(D241*E241,"")</f>
        <v/>
      </c>
      <c r="G241" s="1" t="n">
        <f aca="false">Campaign_data!F241</f>
        <v>0</v>
      </c>
    </row>
    <row r="242" customFormat="false" ht="12.8" hidden="true" customHeight="false" outlineLevel="0" collapsed="false">
      <c r="A242" s="1" t="n">
        <f aca="false">Campaign_data!A242</f>
        <v>241</v>
      </c>
      <c r="B242" s="1" t="n">
        <f aca="false">Campaign_data!D242</f>
        <v>0</v>
      </c>
      <c r="C242" s="1" t="str">
        <f aca="false">Campaign_data!K242</f>
        <v/>
      </c>
      <c r="D242" s="1" t="n">
        <f aca="false">B242</f>
        <v>0</v>
      </c>
      <c r="E242" s="1" t="str">
        <f aca="false">C242</f>
        <v/>
      </c>
      <c r="F242" s="1" t="str">
        <f aca="false">IFERROR(D242*E242,"")</f>
        <v/>
      </c>
      <c r="G242" s="1" t="n">
        <f aca="false">Campaign_data!F242</f>
        <v>4294.08</v>
      </c>
    </row>
    <row r="243" customFormat="false" ht="12.8" hidden="false" customHeight="false" outlineLevel="0" collapsed="false">
      <c r="A243" s="1" t="n">
        <f aca="false">Campaign_data!A243</f>
        <v>242</v>
      </c>
      <c r="B243" s="1" t="n">
        <f aca="false">Campaign_data!D243</f>
        <v>3235.54</v>
      </c>
      <c r="C243" s="1" t="n">
        <f aca="false">Campaign_data!K243</f>
        <v>0.456572936820438</v>
      </c>
      <c r="D243" s="1" t="n">
        <f aca="false">B243</f>
        <v>3235.54</v>
      </c>
      <c r="E243" s="1" t="n">
        <f aca="false">C243</f>
        <v>0.456572936820438</v>
      </c>
      <c r="F243" s="1" t="n">
        <f aca="false">IFERROR(D243*E243,"")</f>
        <v>1477.26</v>
      </c>
      <c r="G243" s="1" t="n">
        <f aca="false">Campaign_data!F243</f>
        <v>1477.26</v>
      </c>
    </row>
    <row r="244" customFormat="false" ht="12.8" hidden="false" customHeight="false" outlineLevel="0" collapsed="false">
      <c r="A244" s="1" t="n">
        <f aca="false">Campaign_data!A244</f>
        <v>243</v>
      </c>
      <c r="B244" s="1" t="n">
        <f aca="false">Campaign_data!D244</f>
        <v>1331.74</v>
      </c>
      <c r="C244" s="1" t="n">
        <f aca="false">Campaign_data!K244</f>
        <v>0.248577049574241</v>
      </c>
      <c r="D244" s="1" t="n">
        <f aca="false">B244</f>
        <v>1331.74</v>
      </c>
      <c r="E244" s="1" t="n">
        <f aca="false">C244</f>
        <v>0.248577049574241</v>
      </c>
      <c r="F244" s="1" t="n">
        <f aca="false">IFERROR(D244*E244,"")</f>
        <v>331.04</v>
      </c>
      <c r="G244" s="1" t="n">
        <f aca="false">Campaign_data!F244</f>
        <v>331.04</v>
      </c>
    </row>
    <row r="245" customFormat="false" ht="12.8" hidden="true" customHeight="false" outlineLevel="0" collapsed="false">
      <c r="A245" s="1" t="n">
        <f aca="false">Campaign_data!A245</f>
        <v>244</v>
      </c>
      <c r="B245" s="1" t="n">
        <f aca="false">Campaign_data!D245</f>
        <v>0</v>
      </c>
      <c r="C245" s="1" t="str">
        <f aca="false">Campaign_data!K245</f>
        <v/>
      </c>
      <c r="D245" s="1" t="n">
        <f aca="false">B245</f>
        <v>0</v>
      </c>
      <c r="E245" s="1" t="str">
        <f aca="false">C245</f>
        <v/>
      </c>
      <c r="F245" s="1" t="str">
        <f aca="false">IFERROR(D245*E245,"")</f>
        <v/>
      </c>
      <c r="G245" s="1" t="n">
        <f aca="false">Campaign_data!F245</f>
        <v>0</v>
      </c>
    </row>
    <row r="246" customFormat="false" ht="12.8" hidden="false" customHeight="false" outlineLevel="0" collapsed="false">
      <c r="A246" s="1" t="n">
        <f aca="false">Campaign_data!A246</f>
        <v>245</v>
      </c>
      <c r="B246" s="1" t="n">
        <f aca="false">Campaign_data!D246</f>
        <v>1085.89</v>
      </c>
      <c r="C246" s="1" t="n">
        <f aca="false">Campaign_data!K246</f>
        <v>0.188508964996455</v>
      </c>
      <c r="D246" s="1" t="n">
        <f aca="false">B246</f>
        <v>1085.89</v>
      </c>
      <c r="E246" s="1" t="n">
        <f aca="false">C246</f>
        <v>0.188508964996455</v>
      </c>
      <c r="F246" s="1" t="n">
        <f aca="false">IFERROR(D246*E246,"")</f>
        <v>204.700000000001</v>
      </c>
      <c r="G246" s="1" t="n">
        <f aca="false">Campaign_data!F246</f>
        <v>204.7</v>
      </c>
    </row>
    <row r="247" customFormat="false" ht="12.8" hidden="false" customHeight="false" outlineLevel="0" collapsed="false">
      <c r="A247" s="1" t="n">
        <f aca="false">Campaign_data!A247</f>
        <v>246</v>
      </c>
      <c r="B247" s="1" t="n">
        <f aca="false">Campaign_data!D247</f>
        <v>3087.42</v>
      </c>
      <c r="C247" s="1" t="n">
        <f aca="false">Campaign_data!K247</f>
        <v>0.362428824066696</v>
      </c>
      <c r="D247" s="1" t="n">
        <f aca="false">B247</f>
        <v>3087.42</v>
      </c>
      <c r="E247" s="1" t="n">
        <f aca="false">C247</f>
        <v>0.362428824066696</v>
      </c>
      <c r="F247" s="1" t="n">
        <f aca="false">IFERROR(D247*E247,"")</f>
        <v>1118.97</v>
      </c>
      <c r="G247" s="1" t="n">
        <f aca="false">Campaign_data!F247</f>
        <v>1118.97</v>
      </c>
    </row>
    <row r="248" customFormat="false" ht="12.8" hidden="false" customHeight="false" outlineLevel="0" collapsed="false">
      <c r="A248" s="1" t="n">
        <f aca="false">Campaign_data!A248</f>
        <v>247</v>
      </c>
      <c r="B248" s="1" t="n">
        <f aca="false">Campaign_data!D248</f>
        <v>2469.16</v>
      </c>
      <c r="C248" s="1" t="n">
        <f aca="false">Campaign_data!K248</f>
        <v>0.506694584393073</v>
      </c>
      <c r="D248" s="1" t="n">
        <f aca="false">B248</f>
        <v>2469.16</v>
      </c>
      <c r="E248" s="1" t="n">
        <f aca="false">C248</f>
        <v>0.506694584393073</v>
      </c>
      <c r="F248" s="1" t="n">
        <f aca="false">IFERROR(D248*E248,"")</f>
        <v>1251.11</v>
      </c>
      <c r="G248" s="1" t="n">
        <f aca="false">Campaign_data!F248</f>
        <v>1251.11</v>
      </c>
    </row>
    <row r="249" customFormat="false" ht="12.8" hidden="false" customHeight="false" outlineLevel="0" collapsed="false">
      <c r="A249" s="1" t="n">
        <f aca="false">Campaign_data!A249</f>
        <v>248</v>
      </c>
      <c r="B249" s="1" t="n">
        <f aca="false">Campaign_data!D249</f>
        <v>3613.77</v>
      </c>
      <c r="C249" s="1" t="n">
        <f aca="false">Campaign_data!K249</f>
        <v>0.191625366307208</v>
      </c>
      <c r="D249" s="1" t="n">
        <f aca="false">B249</f>
        <v>3613.77</v>
      </c>
      <c r="E249" s="1" t="n">
        <f aca="false">C249</f>
        <v>0.191625366307208</v>
      </c>
      <c r="F249" s="1" t="n">
        <f aca="false">IFERROR(D249*E249,"")</f>
        <v>692.489999999999</v>
      </c>
      <c r="G249" s="1" t="n">
        <f aca="false">Campaign_data!F249</f>
        <v>692.49</v>
      </c>
    </row>
    <row r="250" customFormat="false" ht="12.8" hidden="false" customHeight="false" outlineLevel="0" collapsed="false">
      <c r="A250" s="1" t="n">
        <f aca="false">Campaign_data!A250</f>
        <v>249</v>
      </c>
      <c r="B250" s="1" t="n">
        <f aca="false">Campaign_data!D250</f>
        <v>2950.5</v>
      </c>
      <c r="C250" s="1" t="n">
        <f aca="false">Campaign_data!K250</f>
        <v>0.140488052872395</v>
      </c>
      <c r="D250" s="1" t="n">
        <f aca="false">B250</f>
        <v>2950.5</v>
      </c>
      <c r="E250" s="1" t="n">
        <f aca="false">C250</f>
        <v>0.140488052872395</v>
      </c>
      <c r="F250" s="1" t="n">
        <f aca="false">IFERROR(D250*E250,"")</f>
        <v>414.510000000001</v>
      </c>
      <c r="G250" s="1" t="n">
        <f aca="false">Campaign_data!F250</f>
        <v>414.51</v>
      </c>
    </row>
    <row r="251" customFormat="false" ht="12.8" hidden="true" customHeight="false" outlineLevel="0" collapsed="false">
      <c r="A251" s="1" t="n">
        <f aca="false">Campaign_data!A251</f>
        <v>250</v>
      </c>
      <c r="B251" s="1" t="n">
        <f aca="false">Campaign_data!D251</f>
        <v>0</v>
      </c>
      <c r="C251" s="1" t="str">
        <f aca="false">Campaign_data!K251</f>
        <v/>
      </c>
      <c r="D251" s="1" t="n">
        <f aca="false">B251</f>
        <v>0</v>
      </c>
      <c r="E251" s="1" t="str">
        <f aca="false">C251</f>
        <v/>
      </c>
      <c r="F251" s="1" t="str">
        <f aca="false">IFERROR(D251*E251,"")</f>
        <v/>
      </c>
      <c r="G251" s="1" t="n">
        <f aca="false">Campaign_data!F251</f>
        <v>0</v>
      </c>
    </row>
    <row r="252" customFormat="false" ht="12.8" hidden="false" customHeight="false" outlineLevel="0" collapsed="false">
      <c r="A252" s="1" t="n">
        <f aca="false">Campaign_data!A252</f>
        <v>251</v>
      </c>
      <c r="B252" s="1" t="n">
        <f aca="false">Campaign_data!D252</f>
        <v>2281.28</v>
      </c>
      <c r="C252" s="1" t="n">
        <f aca="false">Campaign_data!K252</f>
        <v>0.480712582409875</v>
      </c>
      <c r="D252" s="1" t="n">
        <f aca="false">B252</f>
        <v>2281.28</v>
      </c>
      <c r="E252" s="1" t="n">
        <f aca="false">C252</f>
        <v>0.480712582409875</v>
      </c>
      <c r="F252" s="1" t="n">
        <f aca="false">IFERROR(D252*E252,"")</f>
        <v>1096.64</v>
      </c>
      <c r="G252" s="1" t="n">
        <f aca="false">Campaign_data!F252</f>
        <v>1096.64</v>
      </c>
    </row>
    <row r="253" customFormat="false" ht="12.8" hidden="false" customHeight="false" outlineLevel="0" collapsed="false">
      <c r="A253" s="1" t="n">
        <f aca="false">Campaign_data!A253</f>
        <v>252</v>
      </c>
      <c r="B253" s="1" t="n">
        <f aca="false">Campaign_data!D253</f>
        <v>3321.95</v>
      </c>
      <c r="C253" s="1" t="n">
        <f aca="false">Campaign_data!K253</f>
        <v>0.257412062192387</v>
      </c>
      <c r="D253" s="1" t="n">
        <f aca="false">B253</f>
        <v>3321.95</v>
      </c>
      <c r="E253" s="1" t="n">
        <f aca="false">C253</f>
        <v>0.257412062192387</v>
      </c>
      <c r="F253" s="1" t="n">
        <f aca="false">IFERROR(D253*E253,"")</f>
        <v>855.11</v>
      </c>
      <c r="G253" s="1" t="n">
        <f aca="false">Campaign_data!F253</f>
        <v>855.11</v>
      </c>
    </row>
    <row r="254" customFormat="false" ht="12.8" hidden="true" customHeight="false" outlineLevel="0" collapsed="false">
      <c r="A254" s="1" t="n">
        <f aca="false">Campaign_data!A254</f>
        <v>253</v>
      </c>
      <c r="B254" s="1" t="n">
        <f aca="false">Campaign_data!D254</f>
        <v>0</v>
      </c>
      <c r="C254" s="1" t="str">
        <f aca="false">Campaign_data!K254</f>
        <v/>
      </c>
      <c r="D254" s="1" t="n">
        <f aca="false">B254</f>
        <v>0</v>
      </c>
      <c r="E254" s="1" t="str">
        <f aca="false">C254</f>
        <v/>
      </c>
      <c r="F254" s="1" t="str">
        <f aca="false">IFERROR(D254*E254,"")</f>
        <v/>
      </c>
      <c r="G254" s="1" t="n">
        <f aca="false">Campaign_data!F254</f>
        <v>103.26</v>
      </c>
    </row>
    <row r="255" customFormat="false" ht="12.8" hidden="false" customHeight="false" outlineLevel="0" collapsed="false">
      <c r="A255" s="1" t="n">
        <f aca="false">Campaign_data!A255</f>
        <v>254</v>
      </c>
      <c r="B255" s="1" t="n">
        <f aca="false">Campaign_data!D255</f>
        <v>207.11</v>
      </c>
      <c r="C255" s="1" t="n">
        <f aca="false">Campaign_data!K255</f>
        <v>0.587707015595577</v>
      </c>
      <c r="D255" s="1" t="n">
        <f aca="false">B255</f>
        <v>207.11</v>
      </c>
      <c r="E255" s="1" t="n">
        <f aca="false">C255</f>
        <v>0.587707015595577</v>
      </c>
      <c r="F255" s="1" t="n">
        <f aca="false">IFERROR(D255*E255,"")</f>
        <v>121.72</v>
      </c>
      <c r="G255" s="1" t="n">
        <f aca="false">Campaign_data!F255</f>
        <v>121.72</v>
      </c>
    </row>
    <row r="256" customFormat="false" ht="12.8" hidden="false" customHeight="false" outlineLevel="0" collapsed="false">
      <c r="A256" s="1" t="n">
        <f aca="false">Campaign_data!A256</f>
        <v>255</v>
      </c>
      <c r="B256" s="1" t="n">
        <f aca="false">Campaign_data!D256</f>
        <v>14373.98</v>
      </c>
      <c r="C256" s="1" t="n">
        <f aca="false">Campaign_data!K256</f>
        <v>0.581376208955349</v>
      </c>
      <c r="D256" s="1" t="n">
        <f aca="false">B256</f>
        <v>14373.98</v>
      </c>
      <c r="E256" s="1" t="n">
        <f aca="false">C256</f>
        <v>0.581376208955349</v>
      </c>
      <c r="F256" s="1" t="n">
        <f aca="false">IFERROR(D256*E256,"")</f>
        <v>8356.69000000001</v>
      </c>
      <c r="G256" s="1" t="n">
        <f aca="false">Campaign_data!F256</f>
        <v>8356.69</v>
      </c>
    </row>
    <row r="257" customFormat="false" ht="12.8" hidden="false" customHeight="false" outlineLevel="0" collapsed="false">
      <c r="A257" s="1" t="n">
        <f aca="false">Campaign_data!A257</f>
        <v>256</v>
      </c>
      <c r="B257" s="1" t="n">
        <f aca="false">Campaign_data!D257</f>
        <v>9251.84</v>
      </c>
      <c r="C257" s="1" t="n">
        <f aca="false">Campaign_data!K257</f>
        <v>0.599629911455451</v>
      </c>
      <c r="D257" s="1" t="n">
        <f aca="false">B257</f>
        <v>9251.84</v>
      </c>
      <c r="E257" s="1" t="n">
        <f aca="false">C257</f>
        <v>0.599629911455451</v>
      </c>
      <c r="F257" s="1" t="n">
        <f aca="false">IFERROR(D257*E257,"")</f>
        <v>5547.68</v>
      </c>
      <c r="G257" s="1" t="n">
        <f aca="false">Campaign_data!F257</f>
        <v>5547.68</v>
      </c>
    </row>
    <row r="258" customFormat="false" ht="12.8" hidden="false" customHeight="false" outlineLevel="0" collapsed="false">
      <c r="A258" s="1" t="n">
        <f aca="false">Campaign_data!A258</f>
        <v>257</v>
      </c>
      <c r="B258" s="1" t="n">
        <f aca="false">Campaign_data!D258</f>
        <v>4367.32</v>
      </c>
      <c r="C258" s="1" t="n">
        <f aca="false">Campaign_data!K258</f>
        <v>0.435189086213055</v>
      </c>
      <c r="D258" s="1" t="n">
        <f aca="false">B258</f>
        <v>4367.32</v>
      </c>
      <c r="E258" s="1" t="n">
        <f aca="false">C258</f>
        <v>0.435189086213055</v>
      </c>
      <c r="F258" s="1" t="n">
        <f aca="false">IFERROR(D258*E258,"")</f>
        <v>1900.61</v>
      </c>
      <c r="G258" s="1" t="n">
        <f aca="false">Campaign_data!F258</f>
        <v>1900.61</v>
      </c>
    </row>
    <row r="259" customFormat="false" ht="12.8" hidden="false" customHeight="false" outlineLevel="0" collapsed="false">
      <c r="A259" s="1" t="n">
        <f aca="false">Campaign_data!A259</f>
        <v>258</v>
      </c>
      <c r="B259" s="1" t="n">
        <f aca="false">Campaign_data!D259</f>
        <v>4162.8</v>
      </c>
      <c r="C259" s="1" t="n">
        <f aca="false">Campaign_data!K259</f>
        <v>0.453531277025079</v>
      </c>
      <c r="D259" s="1" t="n">
        <f aca="false">B259</f>
        <v>4162.8</v>
      </c>
      <c r="E259" s="1" t="n">
        <f aca="false">C259</f>
        <v>0.453531277025079</v>
      </c>
      <c r="F259" s="1" t="n">
        <f aca="false">IFERROR(D259*E259,"")</f>
        <v>1887.96</v>
      </c>
      <c r="G259" s="1" t="n">
        <f aca="false">Campaign_data!F259</f>
        <v>1887.96</v>
      </c>
    </row>
    <row r="260" customFormat="false" ht="12.8" hidden="false" customHeight="false" outlineLevel="0" collapsed="false">
      <c r="A260" s="1" t="n">
        <f aca="false">Campaign_data!A260</f>
        <v>259</v>
      </c>
      <c r="B260" s="1" t="n">
        <f aca="false">Campaign_data!D260</f>
        <v>1138.43</v>
      </c>
      <c r="C260" s="1" t="n">
        <f aca="false">Campaign_data!K260</f>
        <v>0.154563741292833</v>
      </c>
      <c r="D260" s="1" t="n">
        <f aca="false">B260</f>
        <v>1138.43</v>
      </c>
      <c r="E260" s="1" t="n">
        <f aca="false">C260</f>
        <v>0.154563741292833</v>
      </c>
      <c r="F260" s="1" t="n">
        <f aca="false">IFERROR(D260*E260,"")</f>
        <v>175.96</v>
      </c>
      <c r="G260" s="1" t="n">
        <f aca="false">Campaign_data!F260</f>
        <v>175.96</v>
      </c>
    </row>
    <row r="261" customFormat="false" ht="12.8" hidden="true" customHeight="false" outlineLevel="0" collapsed="false">
      <c r="A261" s="1" t="n">
        <f aca="false">Campaign_data!A261</f>
        <v>260</v>
      </c>
      <c r="B261" s="1" t="n">
        <f aca="false">Campaign_data!D261</f>
        <v>0</v>
      </c>
      <c r="C261" s="1" t="str">
        <f aca="false">Campaign_data!K261</f>
        <v/>
      </c>
      <c r="D261" s="1" t="n">
        <f aca="false">B261</f>
        <v>0</v>
      </c>
      <c r="E261" s="1" t="str">
        <f aca="false">C261</f>
        <v/>
      </c>
      <c r="F261" s="1" t="str">
        <f aca="false">IFERROR(D261*E261,"")</f>
        <v/>
      </c>
      <c r="G261" s="1" t="n">
        <f aca="false">Campaign_data!F261</f>
        <v>4762.54</v>
      </c>
    </row>
    <row r="262" customFormat="false" ht="12.8" hidden="false" customHeight="false" outlineLevel="0" collapsed="false">
      <c r="A262" s="1" t="n">
        <f aca="false">Campaign_data!A262</f>
        <v>261</v>
      </c>
      <c r="B262" s="1" t="n">
        <f aca="false">Campaign_data!D262</f>
        <v>9811.64</v>
      </c>
      <c r="C262" s="1" t="n">
        <f aca="false">Campaign_data!K262</f>
        <v>0.644274555527924</v>
      </c>
      <c r="D262" s="1" t="n">
        <f aca="false">B262</f>
        <v>9811.64</v>
      </c>
      <c r="E262" s="1" t="n">
        <f aca="false">C262</f>
        <v>0.644274555527924</v>
      </c>
      <c r="F262" s="1" t="n">
        <f aca="false">IFERROR(D262*E262,"")</f>
        <v>6321.39</v>
      </c>
      <c r="G262" s="1" t="n">
        <f aca="false">Campaign_data!F262</f>
        <v>6321.39</v>
      </c>
    </row>
    <row r="263" customFormat="false" ht="12.8" hidden="true" customHeight="false" outlineLevel="0" collapsed="false">
      <c r="A263" s="1" t="n">
        <f aca="false">Campaign_data!A263</f>
        <v>262</v>
      </c>
      <c r="B263" s="1" t="n">
        <f aca="false">Campaign_data!D263</f>
        <v>0</v>
      </c>
      <c r="C263" s="1" t="str">
        <f aca="false">Campaign_data!K263</f>
        <v/>
      </c>
      <c r="D263" s="1" t="n">
        <f aca="false">B263</f>
        <v>0</v>
      </c>
      <c r="E263" s="1" t="str">
        <f aca="false">C263</f>
        <v/>
      </c>
      <c r="F263" s="1" t="str">
        <f aca="false">IFERROR(D263*E263,"")</f>
        <v/>
      </c>
      <c r="G263" s="1" t="n">
        <f aca="false">Campaign_data!F263</f>
        <v>0</v>
      </c>
    </row>
    <row r="264" customFormat="false" ht="12.8" hidden="true" customHeight="false" outlineLevel="0" collapsed="false">
      <c r="A264" s="1" t="n">
        <f aca="false">Campaign_data!A264</f>
        <v>263</v>
      </c>
      <c r="B264" s="1" t="n">
        <f aca="false">Campaign_data!D264</f>
        <v>0</v>
      </c>
      <c r="C264" s="1" t="str">
        <f aca="false">Campaign_data!K264</f>
        <v/>
      </c>
      <c r="D264" s="1" t="n">
        <f aca="false">B264</f>
        <v>0</v>
      </c>
      <c r="E264" s="1" t="str">
        <f aca="false">C264</f>
        <v/>
      </c>
      <c r="F264" s="1" t="str">
        <f aca="false">IFERROR(D264*E264,"")</f>
        <v/>
      </c>
      <c r="G264" s="1" t="n">
        <f aca="false">Campaign_data!F264</f>
        <v>0</v>
      </c>
    </row>
    <row r="265" customFormat="false" ht="12.8" hidden="false" customHeight="false" outlineLevel="0" collapsed="false">
      <c r="A265" s="1" t="n">
        <f aca="false">Campaign_data!A265</f>
        <v>264</v>
      </c>
      <c r="B265" s="1" t="n">
        <f aca="false">Campaign_data!D265</f>
        <v>8038.44</v>
      </c>
      <c r="C265" s="1" t="n">
        <f aca="false">Campaign_data!K265</f>
        <v>0.481321002582591</v>
      </c>
      <c r="D265" s="1" t="n">
        <f aca="false">B265</f>
        <v>8038.44</v>
      </c>
      <c r="E265" s="1" t="n">
        <f aca="false">C265</f>
        <v>0.481321002582591</v>
      </c>
      <c r="F265" s="1" t="n">
        <f aca="false">IFERROR(D265*E265,"")</f>
        <v>3869.07</v>
      </c>
      <c r="G265" s="1" t="n">
        <f aca="false">Campaign_data!F265</f>
        <v>3869.07</v>
      </c>
    </row>
    <row r="266" customFormat="false" ht="12.8" hidden="false" customHeight="false" outlineLevel="0" collapsed="false">
      <c r="A266" s="1" t="n">
        <f aca="false">Campaign_data!A266</f>
        <v>265</v>
      </c>
      <c r="B266" s="1" t="n">
        <f aca="false">Campaign_data!D266</f>
        <v>13029.54</v>
      </c>
      <c r="C266" s="1" t="n">
        <f aca="false">Campaign_data!K266</f>
        <v>0.701102264546561</v>
      </c>
      <c r="D266" s="1" t="n">
        <f aca="false">B266</f>
        <v>13029.54</v>
      </c>
      <c r="E266" s="1" t="n">
        <f aca="false">C266</f>
        <v>0.701102264546561</v>
      </c>
      <c r="F266" s="1" t="n">
        <f aca="false">IFERROR(D266*E266,"")</f>
        <v>9135.04</v>
      </c>
      <c r="G266" s="1" t="n">
        <f aca="false">Campaign_data!F266</f>
        <v>9135.04</v>
      </c>
    </row>
    <row r="267" customFormat="false" ht="12.8" hidden="true" customHeight="false" outlineLevel="0" collapsed="false">
      <c r="A267" s="1" t="n">
        <f aca="false">Campaign_data!A267</f>
        <v>266</v>
      </c>
      <c r="B267" s="1" t="n">
        <f aca="false">Campaign_data!D267</f>
        <v>0</v>
      </c>
      <c r="C267" s="1" t="str">
        <f aca="false">Campaign_data!K267</f>
        <v/>
      </c>
      <c r="D267" s="1" t="n">
        <f aca="false">B267</f>
        <v>0</v>
      </c>
      <c r="E267" s="1" t="str">
        <f aca="false">C267</f>
        <v/>
      </c>
      <c r="F267" s="1" t="str">
        <f aca="false">IFERROR(D267*E267,"")</f>
        <v/>
      </c>
      <c r="G267" s="1" t="n">
        <f aca="false">Campaign_data!F267</f>
        <v>0</v>
      </c>
    </row>
    <row r="268" customFormat="false" ht="12.8" hidden="true" customHeight="false" outlineLevel="0" collapsed="false">
      <c r="A268" s="1" t="n">
        <f aca="false">Campaign_data!A268</f>
        <v>267</v>
      </c>
      <c r="B268" s="1" t="n">
        <f aca="false">Campaign_data!D268</f>
        <v>0</v>
      </c>
      <c r="C268" s="1" t="str">
        <f aca="false">Campaign_data!K268</f>
        <v/>
      </c>
      <c r="D268" s="1" t="n">
        <f aca="false">B268</f>
        <v>0</v>
      </c>
      <c r="E268" s="1" t="str">
        <f aca="false">C268</f>
        <v/>
      </c>
      <c r="F268" s="1" t="str">
        <f aca="false">IFERROR(D268*E268,"")</f>
        <v/>
      </c>
      <c r="G268" s="1" t="n">
        <f aca="false">Campaign_data!F268</f>
        <v>15.97</v>
      </c>
    </row>
    <row r="269" customFormat="false" ht="12.8" hidden="true" customHeight="false" outlineLevel="0" collapsed="false">
      <c r="A269" s="1" t="n">
        <f aca="false">Campaign_data!A269</f>
        <v>268</v>
      </c>
      <c r="B269" s="1" t="n">
        <f aca="false">Campaign_data!D269</f>
        <v>0</v>
      </c>
      <c r="C269" s="1" t="str">
        <f aca="false">Campaign_data!K269</f>
        <v/>
      </c>
      <c r="D269" s="1" t="n">
        <f aca="false">B269</f>
        <v>0</v>
      </c>
      <c r="E269" s="1" t="str">
        <f aca="false">C269</f>
        <v/>
      </c>
      <c r="F269" s="1" t="str">
        <f aca="false">IFERROR(D269*E269,"")</f>
        <v/>
      </c>
      <c r="G269" s="1" t="n">
        <f aca="false">Campaign_data!F269</f>
        <v>0</v>
      </c>
    </row>
    <row r="270" customFormat="false" ht="12.8" hidden="false" customHeight="false" outlineLevel="0" collapsed="false">
      <c r="A270" s="1" t="n">
        <f aca="false">Campaign_data!A270</f>
        <v>269</v>
      </c>
      <c r="B270" s="1" t="n">
        <f aca="false">Campaign_data!D270</f>
        <v>7842.7</v>
      </c>
      <c r="C270" s="1" t="n">
        <f aca="false">Campaign_data!K270</f>
        <v>0.636099812564551</v>
      </c>
      <c r="D270" s="1" t="n">
        <f aca="false">B270</f>
        <v>7842.7</v>
      </c>
      <c r="E270" s="1" t="n">
        <f aca="false">C270</f>
        <v>0.636099812564551</v>
      </c>
      <c r="F270" s="1" t="n">
        <f aca="false">IFERROR(D270*E270,"")</f>
        <v>4988.74</v>
      </c>
      <c r="G270" s="1" t="n">
        <f aca="false">Campaign_data!F270</f>
        <v>4988.74</v>
      </c>
    </row>
    <row r="271" customFormat="false" ht="12.8" hidden="false" customHeight="false" outlineLevel="0" collapsed="false">
      <c r="A271" s="1" t="n">
        <f aca="false">Campaign_data!A271</f>
        <v>270</v>
      </c>
      <c r="B271" s="1" t="n">
        <f aca="false">Campaign_data!D271</f>
        <v>5134.23</v>
      </c>
      <c r="C271" s="1" t="n">
        <f aca="false">Campaign_data!K271</f>
        <v>0.394411625501779</v>
      </c>
      <c r="D271" s="1" t="n">
        <f aca="false">B271</f>
        <v>5134.23</v>
      </c>
      <c r="E271" s="1" t="n">
        <f aca="false">C271</f>
        <v>0.394411625501779</v>
      </c>
      <c r="F271" s="1" t="n">
        <f aca="false">IFERROR(D271*E271,"")</f>
        <v>2025</v>
      </c>
      <c r="G271" s="1" t="n">
        <f aca="false">Campaign_data!F271</f>
        <v>2025</v>
      </c>
    </row>
    <row r="272" customFormat="false" ht="12.8" hidden="true" customHeight="false" outlineLevel="0" collapsed="false">
      <c r="A272" s="1" t="n">
        <f aca="false">Campaign_data!A272</f>
        <v>271</v>
      </c>
      <c r="B272" s="1" t="n">
        <f aca="false">Campaign_data!D272</f>
        <v>0</v>
      </c>
      <c r="C272" s="1" t="str">
        <f aca="false">Campaign_data!K272</f>
        <v/>
      </c>
      <c r="D272" s="1" t="n">
        <f aca="false">B272</f>
        <v>0</v>
      </c>
      <c r="E272" s="1" t="str">
        <f aca="false">C272</f>
        <v/>
      </c>
      <c r="F272" s="1" t="str">
        <f aca="false">IFERROR(D272*E272,"")</f>
        <v/>
      </c>
      <c r="G272" s="1" t="n">
        <f aca="false">Campaign_data!F272</f>
        <v>0</v>
      </c>
    </row>
    <row r="273" customFormat="false" ht="12.8" hidden="true" customHeight="false" outlineLevel="0" collapsed="false">
      <c r="A273" s="1" t="n">
        <f aca="false">Campaign_data!A273</f>
        <v>272</v>
      </c>
      <c r="B273" s="1" t="n">
        <f aca="false">Campaign_data!D273</f>
        <v>0</v>
      </c>
      <c r="C273" s="1" t="str">
        <f aca="false">Campaign_data!K273</f>
        <v/>
      </c>
      <c r="D273" s="1" t="n">
        <f aca="false">B273</f>
        <v>0</v>
      </c>
      <c r="E273" s="1" t="str">
        <f aca="false">C273</f>
        <v/>
      </c>
      <c r="F273" s="1" t="str">
        <f aca="false">IFERROR(D273*E273,"")</f>
        <v/>
      </c>
      <c r="G273" s="1" t="n">
        <f aca="false">Campaign_data!F273</f>
        <v>804.94</v>
      </c>
    </row>
    <row r="274" customFormat="false" ht="12.8" hidden="true" customHeight="false" outlineLevel="0" collapsed="false">
      <c r="A274" s="1" t="n">
        <f aca="false">Campaign_data!A274</f>
        <v>273</v>
      </c>
      <c r="B274" s="1" t="n">
        <f aca="false">Campaign_data!D274</f>
        <v>0</v>
      </c>
      <c r="C274" s="1" t="str">
        <f aca="false">Campaign_data!K274</f>
        <v/>
      </c>
      <c r="D274" s="1" t="n">
        <f aca="false">B274</f>
        <v>0</v>
      </c>
      <c r="E274" s="1" t="str">
        <f aca="false">C274</f>
        <v/>
      </c>
      <c r="F274" s="1" t="str">
        <f aca="false">IFERROR(D274*E274,"")</f>
        <v/>
      </c>
      <c r="G274" s="1" t="n">
        <f aca="false">Campaign_data!F274</f>
        <v>0</v>
      </c>
    </row>
    <row r="275" customFormat="false" ht="12.8" hidden="false" customHeight="false" outlineLevel="0" collapsed="false">
      <c r="A275" s="1" t="n">
        <f aca="false">Campaign_data!A275</f>
        <v>274</v>
      </c>
      <c r="B275" s="1" t="n">
        <f aca="false">Campaign_data!D275</f>
        <v>27023.18</v>
      </c>
      <c r="C275" s="1" t="n">
        <f aca="false">Campaign_data!K275</f>
        <v>0.686762993844544</v>
      </c>
      <c r="D275" s="1" t="n">
        <f aca="false">B275</f>
        <v>27023.18</v>
      </c>
      <c r="E275" s="1" t="n">
        <f aca="false">C275</f>
        <v>0.686762993844544</v>
      </c>
      <c r="F275" s="1" t="n">
        <f aca="false">IFERROR(D275*E275,"")</f>
        <v>18558.52</v>
      </c>
      <c r="G275" s="1" t="n">
        <f aca="false">Campaign_data!F275</f>
        <v>18558.52</v>
      </c>
    </row>
    <row r="276" customFormat="false" ht="12.8" hidden="false" customHeight="false" outlineLevel="0" collapsed="false">
      <c r="A276" s="1" t="n">
        <f aca="false">Campaign_data!A276</f>
        <v>275</v>
      </c>
      <c r="B276" s="1" t="n">
        <f aca="false">Campaign_data!D276</f>
        <v>243.79</v>
      </c>
      <c r="C276" s="1" t="n">
        <f aca="false">Campaign_data!K276</f>
        <v>0</v>
      </c>
      <c r="D276" s="1" t="n">
        <f aca="false">B276</f>
        <v>243.79</v>
      </c>
      <c r="E276" s="1" t="n">
        <f aca="false">C276</f>
        <v>0</v>
      </c>
      <c r="F276" s="1" t="n">
        <f aca="false">IFERROR(D276*E276,"")</f>
        <v>0</v>
      </c>
      <c r="G276" s="1" t="n">
        <f aca="false">Campaign_data!F276</f>
        <v>0</v>
      </c>
    </row>
    <row r="277" customFormat="false" ht="12.8" hidden="true" customHeight="false" outlineLevel="0" collapsed="false">
      <c r="A277" s="1" t="n">
        <f aca="false">Campaign_data!A277</f>
        <v>276</v>
      </c>
      <c r="B277" s="1" t="n">
        <f aca="false">Campaign_data!D277</f>
        <v>0</v>
      </c>
      <c r="C277" s="1" t="str">
        <f aca="false">Campaign_data!K277</f>
        <v/>
      </c>
      <c r="D277" s="1" t="n">
        <f aca="false">B277</f>
        <v>0</v>
      </c>
      <c r="E277" s="1" t="str">
        <f aca="false">C277</f>
        <v/>
      </c>
      <c r="F277" s="1" t="str">
        <f aca="false">IFERROR(D277*E277,"")</f>
        <v/>
      </c>
      <c r="G277" s="1" t="n">
        <f aca="false">Campaign_data!F277</f>
        <v>0</v>
      </c>
    </row>
    <row r="278" customFormat="false" ht="12.8" hidden="false" customHeight="false" outlineLevel="0" collapsed="false">
      <c r="A278" s="1" t="n">
        <f aca="false">Campaign_data!A278</f>
        <v>277</v>
      </c>
      <c r="B278" s="1" t="n">
        <f aca="false">Campaign_data!D278</f>
        <v>56.52</v>
      </c>
      <c r="C278" s="1" t="n">
        <f aca="false">Campaign_data!K278</f>
        <v>0</v>
      </c>
      <c r="D278" s="1" t="n">
        <f aca="false">B278</f>
        <v>56.52</v>
      </c>
      <c r="E278" s="1" t="n">
        <f aca="false">C278</f>
        <v>0</v>
      </c>
      <c r="F278" s="1" t="n">
        <f aca="false">IFERROR(D278*E278,"")</f>
        <v>0</v>
      </c>
      <c r="G278" s="1" t="n">
        <f aca="false">Campaign_data!F278</f>
        <v>0</v>
      </c>
    </row>
    <row r="279" customFormat="false" ht="12.8" hidden="true" customHeight="false" outlineLevel="0" collapsed="false">
      <c r="A279" s="1" t="n">
        <f aca="false">Campaign_data!A279</f>
        <v>278</v>
      </c>
      <c r="B279" s="1" t="n">
        <f aca="false">Campaign_data!D279</f>
        <v>0</v>
      </c>
      <c r="C279" s="1" t="str">
        <f aca="false">Campaign_data!K279</f>
        <v/>
      </c>
      <c r="D279" s="1" t="n">
        <f aca="false">B279</f>
        <v>0</v>
      </c>
      <c r="E279" s="1" t="str">
        <f aca="false">C279</f>
        <v/>
      </c>
      <c r="F279" s="1" t="str">
        <f aca="false">IFERROR(D279*E279,"")</f>
        <v/>
      </c>
      <c r="G279" s="1" t="n">
        <f aca="false">Campaign_data!F279</f>
        <v>3659.71</v>
      </c>
    </row>
    <row r="280" customFormat="false" ht="12.8" hidden="false" customHeight="false" outlineLevel="0" collapsed="false">
      <c r="A280" s="1" t="n">
        <f aca="false">Campaign_data!A280</f>
        <v>279</v>
      </c>
      <c r="B280" s="1" t="n">
        <f aca="false">Campaign_data!D280</f>
        <v>5160.6</v>
      </c>
      <c r="C280" s="1" t="n">
        <f aca="false">Campaign_data!K280</f>
        <v>0.57852962833779</v>
      </c>
      <c r="D280" s="1" t="n">
        <f aca="false">B280</f>
        <v>5160.6</v>
      </c>
      <c r="E280" s="1" t="n">
        <f aca="false">C280</f>
        <v>0.57852962833779</v>
      </c>
      <c r="F280" s="1" t="n">
        <f aca="false">IFERROR(D280*E280,"")</f>
        <v>2985.56</v>
      </c>
      <c r="G280" s="1" t="n">
        <f aca="false">Campaign_data!F280</f>
        <v>2985.56</v>
      </c>
    </row>
    <row r="281" customFormat="false" ht="12.8" hidden="true" customHeight="false" outlineLevel="0" collapsed="false">
      <c r="A281" s="1" t="n">
        <f aca="false">Campaign_data!A281</f>
        <v>280</v>
      </c>
      <c r="B281" s="1" t="n">
        <f aca="false">Campaign_data!D281</f>
        <v>0</v>
      </c>
      <c r="C281" s="1" t="str">
        <f aca="false">Campaign_data!K281</f>
        <v/>
      </c>
      <c r="D281" s="1" t="n">
        <f aca="false">B281</f>
        <v>0</v>
      </c>
      <c r="E281" s="1" t="str">
        <f aca="false">C281</f>
        <v/>
      </c>
      <c r="F281" s="1" t="str">
        <f aca="false">IFERROR(D281*E281,"")</f>
        <v/>
      </c>
      <c r="G281" s="1" t="n">
        <f aca="false">Campaign_data!F281</f>
        <v>1847.92</v>
      </c>
    </row>
    <row r="282" customFormat="false" ht="12.8" hidden="false" customHeight="false" outlineLevel="0" collapsed="false">
      <c r="A282" s="1" t="n">
        <f aca="false">Campaign_data!A282</f>
        <v>281</v>
      </c>
      <c r="B282" s="1" t="n">
        <f aca="false">Campaign_data!D282</f>
        <v>2165</v>
      </c>
      <c r="C282" s="1" t="n">
        <f aca="false">Campaign_data!K282</f>
        <v>0.818812933025404</v>
      </c>
      <c r="D282" s="1" t="n">
        <f aca="false">B282</f>
        <v>2165</v>
      </c>
      <c r="E282" s="1" t="n">
        <f aca="false">C282</f>
        <v>0.818812933025404</v>
      </c>
      <c r="F282" s="1" t="n">
        <f aca="false">IFERROR(D282*E282,"")</f>
        <v>1772.73</v>
      </c>
      <c r="G282" s="1" t="n">
        <f aca="false">Campaign_data!F282</f>
        <v>1772.73</v>
      </c>
    </row>
    <row r="283" customFormat="false" ht="12.8" hidden="true" customHeight="false" outlineLevel="0" collapsed="false">
      <c r="A283" s="1" t="n">
        <f aca="false">Campaign_data!A283</f>
        <v>282</v>
      </c>
      <c r="B283" s="1" t="n">
        <f aca="false">Campaign_data!D283</f>
        <v>0</v>
      </c>
      <c r="C283" s="1" t="str">
        <f aca="false">Campaign_data!K283</f>
        <v/>
      </c>
      <c r="D283" s="1" t="n">
        <f aca="false">B283</f>
        <v>0</v>
      </c>
      <c r="E283" s="1" t="str">
        <f aca="false">C283</f>
        <v/>
      </c>
      <c r="F283" s="1" t="str">
        <f aca="false">IFERROR(D283*E283,"")</f>
        <v/>
      </c>
      <c r="G283" s="1" t="n">
        <f aca="false">Campaign_data!F283</f>
        <v>778.56</v>
      </c>
    </row>
    <row r="284" customFormat="false" ht="12.8" hidden="false" customHeight="false" outlineLevel="0" collapsed="false">
      <c r="A284" s="1" t="n">
        <f aca="false">Campaign_data!A284</f>
        <v>283</v>
      </c>
      <c r="B284" s="1" t="n">
        <f aca="false">Campaign_data!D284</f>
        <v>1823.62</v>
      </c>
      <c r="C284" s="1" t="n">
        <f aca="false">Campaign_data!K284</f>
        <v>0.375895197464384</v>
      </c>
      <c r="D284" s="1" t="n">
        <f aca="false">B284</f>
        <v>1823.62</v>
      </c>
      <c r="E284" s="1" t="n">
        <f aca="false">C284</f>
        <v>0.375895197464384</v>
      </c>
      <c r="F284" s="1" t="n">
        <f aca="false">IFERROR(D284*E284,"")</f>
        <v>685.49</v>
      </c>
      <c r="G284" s="1" t="n">
        <f aca="false">Campaign_data!F284</f>
        <v>685.49</v>
      </c>
    </row>
    <row r="285" customFormat="false" ht="12.8" hidden="true" customHeight="false" outlineLevel="0" collapsed="false">
      <c r="A285" s="1" t="n">
        <f aca="false">Campaign_data!A285</f>
        <v>284</v>
      </c>
      <c r="B285" s="1" t="n">
        <f aca="false">Campaign_data!D285</f>
        <v>0</v>
      </c>
      <c r="C285" s="1" t="str">
        <f aca="false">Campaign_data!K285</f>
        <v/>
      </c>
      <c r="D285" s="1" t="n">
        <f aca="false">B285</f>
        <v>0</v>
      </c>
      <c r="E285" s="1" t="str">
        <f aca="false">C285</f>
        <v/>
      </c>
      <c r="F285" s="1" t="str">
        <f aca="false">IFERROR(D285*E285,"")</f>
        <v/>
      </c>
      <c r="G285" s="1" t="n">
        <f aca="false">Campaign_data!F285</f>
        <v>1305.81</v>
      </c>
    </row>
    <row r="286" customFormat="false" ht="12.8" hidden="false" customHeight="false" outlineLevel="0" collapsed="false">
      <c r="A286" s="1" t="n">
        <f aca="false">Campaign_data!A286</f>
        <v>285</v>
      </c>
      <c r="B286" s="1" t="n">
        <f aca="false">Campaign_data!D286</f>
        <v>433.23</v>
      </c>
      <c r="C286" s="1" t="n">
        <f aca="false">Campaign_data!K286</f>
        <v>0.0625072132585463</v>
      </c>
      <c r="D286" s="1" t="n">
        <f aca="false">B286</f>
        <v>433.23</v>
      </c>
      <c r="E286" s="1" t="n">
        <f aca="false">C286</f>
        <v>0.0625072132585463</v>
      </c>
      <c r="F286" s="1" t="n">
        <f aca="false">IFERROR(D286*E286,"")</f>
        <v>27.08</v>
      </c>
      <c r="G286" s="1" t="n">
        <f aca="false">Campaign_data!F286</f>
        <v>27.08</v>
      </c>
    </row>
    <row r="287" customFormat="false" ht="12.8" hidden="false" customHeight="false" outlineLevel="0" collapsed="false">
      <c r="A287" s="1" t="n">
        <f aca="false">Campaign_data!A287</f>
        <v>286</v>
      </c>
      <c r="B287" s="1" t="n">
        <f aca="false">Campaign_data!D287</f>
        <v>46.92</v>
      </c>
      <c r="C287" s="1" t="n">
        <f aca="false">Campaign_data!K287</f>
        <v>0.612531969309463</v>
      </c>
      <c r="D287" s="1" t="n">
        <f aca="false">B287</f>
        <v>46.92</v>
      </c>
      <c r="E287" s="1" t="n">
        <f aca="false">C287</f>
        <v>0.612531969309463</v>
      </c>
      <c r="F287" s="1" t="n">
        <f aca="false">IFERROR(D287*E287,"")</f>
        <v>28.74</v>
      </c>
      <c r="G287" s="1" t="n">
        <f aca="false">Campaign_data!F287</f>
        <v>28.74</v>
      </c>
    </row>
    <row r="288" customFormat="false" ht="12.8" hidden="false" customHeight="false" outlineLevel="0" collapsed="false">
      <c r="A288" s="1" t="n">
        <f aca="false">Campaign_data!A288</f>
        <v>287</v>
      </c>
      <c r="B288" s="1" t="n">
        <f aca="false">Campaign_data!D288</f>
        <v>2992.8</v>
      </c>
      <c r="C288" s="1" t="n">
        <f aca="false">Campaign_data!K288</f>
        <v>0.235384923817161</v>
      </c>
      <c r="D288" s="1" t="n">
        <f aca="false">B288</f>
        <v>2992.8</v>
      </c>
      <c r="E288" s="1" t="n">
        <f aca="false">C288</f>
        <v>0.235384923817161</v>
      </c>
      <c r="F288" s="1" t="n">
        <f aca="false">IFERROR(D288*E288,"")</f>
        <v>704.46</v>
      </c>
      <c r="G288" s="1" t="n">
        <f aca="false">Campaign_data!F288</f>
        <v>704.46</v>
      </c>
    </row>
    <row r="289" customFormat="false" ht="12.8" hidden="false" customHeight="false" outlineLevel="0" collapsed="false">
      <c r="A289" s="1" t="n">
        <f aca="false">Campaign_data!A289</f>
        <v>288</v>
      </c>
      <c r="B289" s="1" t="n">
        <f aca="false">Campaign_data!D289</f>
        <v>4299.82</v>
      </c>
      <c r="C289" s="1" t="n">
        <f aca="false">Campaign_data!K289</f>
        <v>0.625121516714653</v>
      </c>
      <c r="D289" s="1" t="n">
        <f aca="false">B289</f>
        <v>4299.82</v>
      </c>
      <c r="E289" s="1" t="n">
        <f aca="false">C289</f>
        <v>0.625121516714653</v>
      </c>
      <c r="F289" s="1" t="n">
        <f aca="false">IFERROR(D289*E289,"")</f>
        <v>2687.91</v>
      </c>
      <c r="G289" s="1" t="n">
        <f aca="false">Campaign_data!F289</f>
        <v>2687.91</v>
      </c>
    </row>
    <row r="290" customFormat="false" ht="12.8" hidden="true" customHeight="false" outlineLevel="0" collapsed="false">
      <c r="A290" s="1" t="n">
        <f aca="false">Campaign_data!A290</f>
        <v>289</v>
      </c>
      <c r="B290" s="1" t="n">
        <f aca="false">Campaign_data!D290</f>
        <v>0</v>
      </c>
      <c r="C290" s="1" t="str">
        <f aca="false">Campaign_data!K290</f>
        <v/>
      </c>
      <c r="D290" s="1" t="n">
        <f aca="false">B290</f>
        <v>0</v>
      </c>
      <c r="E290" s="1" t="str">
        <f aca="false">C290</f>
        <v/>
      </c>
      <c r="F290" s="1" t="str">
        <f aca="false">IFERROR(D290*E290,"")</f>
        <v/>
      </c>
      <c r="G290" s="1" t="n">
        <f aca="false">Campaign_data!F290</f>
        <v>0</v>
      </c>
    </row>
    <row r="291" customFormat="false" ht="12.8" hidden="false" customHeight="false" outlineLevel="0" collapsed="false">
      <c r="A291" s="1" t="n">
        <f aca="false">Campaign_data!A291</f>
        <v>290</v>
      </c>
      <c r="B291" s="1" t="n">
        <f aca="false">Campaign_data!D291</f>
        <v>9629.17</v>
      </c>
      <c r="C291" s="1" t="n">
        <f aca="false">Campaign_data!K291</f>
        <v>0.615805931352339</v>
      </c>
      <c r="D291" s="1" t="n">
        <f aca="false">B291</f>
        <v>9629.17</v>
      </c>
      <c r="E291" s="1" t="n">
        <f aca="false">C291</f>
        <v>0.615805931352339</v>
      </c>
      <c r="F291" s="1" t="n">
        <f aca="false">IFERROR(D291*E291,"")</f>
        <v>5929.7</v>
      </c>
      <c r="G291" s="1" t="n">
        <f aca="false">Campaign_data!F291</f>
        <v>5929.7</v>
      </c>
    </row>
    <row r="292" customFormat="false" ht="12.8" hidden="true" customHeight="false" outlineLevel="0" collapsed="false">
      <c r="A292" s="1" t="n">
        <f aca="false">Campaign_data!A292</f>
        <v>291</v>
      </c>
      <c r="B292" s="1" t="n">
        <f aca="false">Campaign_data!D292</f>
        <v>0</v>
      </c>
      <c r="C292" s="1" t="str">
        <f aca="false">Campaign_data!K292</f>
        <v/>
      </c>
      <c r="D292" s="1" t="n">
        <f aca="false">B292</f>
        <v>0</v>
      </c>
      <c r="E292" s="1" t="str">
        <f aca="false">C292</f>
        <v/>
      </c>
      <c r="F292" s="1" t="str">
        <f aca="false">IFERROR(D292*E292,"")</f>
        <v/>
      </c>
      <c r="G292" s="1" t="n">
        <f aca="false">Campaign_data!F292</f>
        <v>2849.25</v>
      </c>
    </row>
    <row r="293" customFormat="false" ht="12.8" hidden="false" customHeight="false" outlineLevel="0" collapsed="false">
      <c r="A293" s="1" t="n">
        <f aca="false">Campaign_data!A293</f>
        <v>292</v>
      </c>
      <c r="B293" s="1" t="n">
        <f aca="false">Campaign_data!D293</f>
        <v>1030.34</v>
      </c>
      <c r="C293" s="1" t="n">
        <f aca="false">Campaign_data!K293</f>
        <v>0.507929421356057</v>
      </c>
      <c r="D293" s="1" t="n">
        <f aca="false">B293</f>
        <v>1030.34</v>
      </c>
      <c r="E293" s="1" t="n">
        <f aca="false">C293</f>
        <v>0.507929421356057</v>
      </c>
      <c r="F293" s="1" t="n">
        <f aca="false">IFERROR(D293*E293,"")</f>
        <v>523.34</v>
      </c>
      <c r="G293" s="1" t="n">
        <f aca="false">Campaign_data!F293</f>
        <v>523.34</v>
      </c>
    </row>
    <row r="294" customFormat="false" ht="12.8" hidden="false" customHeight="false" outlineLevel="0" collapsed="false">
      <c r="A294" s="1" t="n">
        <f aca="false">Campaign_data!A294</f>
        <v>293</v>
      </c>
      <c r="B294" s="1" t="n">
        <f aca="false">Campaign_data!D294</f>
        <v>21986.48</v>
      </c>
      <c r="C294" s="1" t="n">
        <f aca="false">Campaign_data!K294</f>
        <v>0.57932010944908</v>
      </c>
      <c r="D294" s="1" t="n">
        <f aca="false">B294</f>
        <v>21986.48</v>
      </c>
      <c r="E294" s="1" t="n">
        <f aca="false">C294</f>
        <v>0.57932010944908</v>
      </c>
      <c r="F294" s="1" t="n">
        <f aca="false">IFERROR(D294*E294,"")</f>
        <v>12737.21</v>
      </c>
      <c r="G294" s="1" t="n">
        <f aca="false">Campaign_data!F294</f>
        <v>12737.21</v>
      </c>
    </row>
    <row r="295" customFormat="false" ht="12.8" hidden="false" customHeight="false" outlineLevel="0" collapsed="false">
      <c r="A295" s="1" t="n">
        <f aca="false">Campaign_data!A295</f>
        <v>294</v>
      </c>
      <c r="B295" s="1" t="n">
        <f aca="false">Campaign_data!D295</f>
        <v>955.57</v>
      </c>
      <c r="C295" s="1" t="n">
        <f aca="false">Campaign_data!K295</f>
        <v>0.0948020553177685</v>
      </c>
      <c r="D295" s="1" t="n">
        <f aca="false">B295</f>
        <v>955.57</v>
      </c>
      <c r="E295" s="1" t="n">
        <f aca="false">C295</f>
        <v>0.0948020553177685</v>
      </c>
      <c r="F295" s="1" t="n">
        <f aca="false">IFERROR(D295*E295,"")</f>
        <v>90.5900000000001</v>
      </c>
      <c r="G295" s="1" t="n">
        <f aca="false">Campaign_data!F295</f>
        <v>90.59</v>
      </c>
    </row>
    <row r="296" customFormat="false" ht="12.8" hidden="true" customHeight="false" outlineLevel="0" collapsed="false">
      <c r="A296" s="1" t="n">
        <f aca="false">Campaign_data!A296</f>
        <v>295</v>
      </c>
      <c r="B296" s="1" t="n">
        <f aca="false">Campaign_data!D296</f>
        <v>0</v>
      </c>
      <c r="C296" s="1" t="str">
        <f aca="false">Campaign_data!K296</f>
        <v/>
      </c>
      <c r="D296" s="1" t="n">
        <f aca="false">B296</f>
        <v>0</v>
      </c>
      <c r="E296" s="1" t="str">
        <f aca="false">C296</f>
        <v/>
      </c>
      <c r="F296" s="1" t="str">
        <f aca="false">IFERROR(D296*E296,"")</f>
        <v/>
      </c>
      <c r="G296" s="1" t="n">
        <f aca="false">Campaign_data!F296</f>
        <v>4891.32</v>
      </c>
    </row>
    <row r="297" customFormat="false" ht="12.8" hidden="false" customHeight="false" outlineLevel="0" collapsed="false">
      <c r="A297" s="1" t="n">
        <f aca="false">Campaign_data!A297</f>
        <v>296</v>
      </c>
      <c r="B297" s="1" t="n">
        <f aca="false">Campaign_data!D297</f>
        <v>519.78</v>
      </c>
      <c r="C297" s="1" t="n">
        <f aca="false">Campaign_data!K297</f>
        <v>0</v>
      </c>
      <c r="D297" s="1" t="n">
        <f aca="false">B297</f>
        <v>519.78</v>
      </c>
      <c r="E297" s="1" t="n">
        <f aca="false">C297</f>
        <v>0</v>
      </c>
      <c r="F297" s="1" t="n">
        <f aca="false">IFERROR(D297*E297,"")</f>
        <v>0</v>
      </c>
      <c r="G297" s="1" t="n">
        <f aca="false">Campaign_data!F297</f>
        <v>0</v>
      </c>
    </row>
    <row r="298" customFormat="false" ht="12.8" hidden="false" customHeight="false" outlineLevel="0" collapsed="false">
      <c r="A298" s="1" t="n">
        <f aca="false">Campaign_data!A298</f>
        <v>297</v>
      </c>
      <c r="B298" s="1" t="n">
        <f aca="false">Campaign_data!D298</f>
        <v>5912.34</v>
      </c>
      <c r="C298" s="1" t="n">
        <f aca="false">Campaign_data!K298</f>
        <v>0.382121122939479</v>
      </c>
      <c r="D298" s="1" t="n">
        <f aca="false">B298</f>
        <v>5912.34</v>
      </c>
      <c r="E298" s="1" t="n">
        <f aca="false">C298</f>
        <v>0.382121122939479</v>
      </c>
      <c r="F298" s="1" t="n">
        <f aca="false">IFERROR(D298*E298,"")</f>
        <v>2259.23</v>
      </c>
      <c r="G298" s="1" t="n">
        <f aca="false">Campaign_data!F298</f>
        <v>2259.23</v>
      </c>
    </row>
    <row r="299" customFormat="false" ht="12.8" hidden="false" customHeight="false" outlineLevel="0" collapsed="false">
      <c r="A299" s="1" t="n">
        <f aca="false">Campaign_data!A299</f>
        <v>298</v>
      </c>
      <c r="B299" s="1" t="n">
        <f aca="false">Campaign_data!D299</f>
        <v>725.7</v>
      </c>
      <c r="C299" s="1" t="n">
        <f aca="false">Campaign_data!K299</f>
        <v>1.11510265950117</v>
      </c>
      <c r="D299" s="1" t="n">
        <f aca="false">B299</f>
        <v>725.7</v>
      </c>
      <c r="E299" s="1" t="n">
        <f aca="false">C299</f>
        <v>1.11510265950117</v>
      </c>
      <c r="F299" s="1" t="n">
        <f aca="false">IFERROR(D299*E299,"")</f>
        <v>809.229999999999</v>
      </c>
      <c r="G299" s="1" t="n">
        <f aca="false">Campaign_data!F299</f>
        <v>809.23</v>
      </c>
    </row>
    <row r="300" customFormat="false" ht="12.8" hidden="false" customHeight="false" outlineLevel="0" collapsed="false">
      <c r="A300" s="1" t="n">
        <f aca="false">Campaign_data!A300</f>
        <v>299</v>
      </c>
      <c r="B300" s="1" t="n">
        <f aca="false">Campaign_data!D300</f>
        <v>792.92</v>
      </c>
      <c r="C300" s="1" t="n">
        <f aca="false">Campaign_data!K300</f>
        <v>0.832719568178379</v>
      </c>
      <c r="D300" s="1" t="n">
        <f aca="false">B300</f>
        <v>792.92</v>
      </c>
      <c r="E300" s="1" t="n">
        <f aca="false">C300</f>
        <v>0.832719568178379</v>
      </c>
      <c r="F300" s="1" t="n">
        <f aca="false">IFERROR(D300*E300,"")</f>
        <v>660.28</v>
      </c>
      <c r="G300" s="1" t="n">
        <f aca="false">Campaign_data!F300</f>
        <v>660.28</v>
      </c>
    </row>
    <row r="301" customFormat="false" ht="12.8" hidden="false" customHeight="false" outlineLevel="0" collapsed="false">
      <c r="A301" s="1" t="n">
        <f aca="false">Campaign_data!A301</f>
        <v>300</v>
      </c>
      <c r="B301" s="1" t="n">
        <f aca="false">Campaign_data!D301</f>
        <v>1085.13</v>
      </c>
      <c r="C301" s="1" t="n">
        <f aca="false">Campaign_data!K301</f>
        <v>0.853833181277819</v>
      </c>
      <c r="D301" s="1" t="n">
        <f aca="false">B301</f>
        <v>1085.13</v>
      </c>
      <c r="E301" s="1" t="n">
        <f aca="false">C301</f>
        <v>0.853833181277819</v>
      </c>
      <c r="F301" s="1" t="n">
        <f aca="false">IFERROR(D301*E301,"")</f>
        <v>926.52</v>
      </c>
      <c r="G301" s="1" t="n">
        <f aca="false">Campaign_data!F301</f>
        <v>926.52</v>
      </c>
    </row>
    <row r="302" customFormat="false" ht="12.8" hidden="false" customHeight="false" outlineLevel="0" collapsed="false">
      <c r="A302" s="1" t="n">
        <f aca="false">Campaign_data!A302</f>
        <v>301</v>
      </c>
      <c r="B302" s="1" t="n">
        <f aca="false">Campaign_data!D302</f>
        <v>5685.91</v>
      </c>
      <c r="C302" s="1" t="n">
        <f aca="false">Campaign_data!K302</f>
        <v>0.539655042024935</v>
      </c>
      <c r="D302" s="1" t="n">
        <f aca="false">B302</f>
        <v>5685.91</v>
      </c>
      <c r="E302" s="1" t="n">
        <f aca="false">C302</f>
        <v>0.539655042024935</v>
      </c>
      <c r="F302" s="1" t="n">
        <f aca="false">IFERROR(D302*E302,"")</f>
        <v>3068.43</v>
      </c>
      <c r="G302" s="1" t="n">
        <f aca="false">Campaign_data!F302</f>
        <v>3068.43</v>
      </c>
    </row>
    <row r="303" customFormat="false" ht="12.8" hidden="false" customHeight="false" outlineLevel="0" collapsed="false">
      <c r="A303" s="1" t="n">
        <f aca="false">Campaign_data!A303</f>
        <v>302</v>
      </c>
      <c r="B303" s="1" t="n">
        <f aca="false">Campaign_data!D303</f>
        <v>1181.8</v>
      </c>
      <c r="C303" s="1" t="n">
        <f aca="false">Campaign_data!K303</f>
        <v>0.492731426637333</v>
      </c>
      <c r="D303" s="1" t="n">
        <f aca="false">B303</f>
        <v>1181.8</v>
      </c>
      <c r="E303" s="1" t="n">
        <f aca="false">C303</f>
        <v>0.492731426637333</v>
      </c>
      <c r="F303" s="1" t="n">
        <f aca="false">IFERROR(D303*E303,"")</f>
        <v>582.31</v>
      </c>
      <c r="G303" s="1" t="n">
        <f aca="false">Campaign_data!F303</f>
        <v>582.31</v>
      </c>
    </row>
    <row r="304" customFormat="false" ht="12.8" hidden="false" customHeight="false" outlineLevel="0" collapsed="false">
      <c r="A304" s="1" t="n">
        <f aca="false">Campaign_data!A304</f>
        <v>303</v>
      </c>
      <c r="B304" s="1" t="n">
        <f aca="false">Campaign_data!D304</f>
        <v>529.35</v>
      </c>
      <c r="C304" s="1" t="n">
        <f aca="false">Campaign_data!K304</f>
        <v>0</v>
      </c>
      <c r="D304" s="1" t="n">
        <f aca="false">B304</f>
        <v>529.35</v>
      </c>
      <c r="E304" s="1" t="n">
        <f aca="false">C304</f>
        <v>0</v>
      </c>
      <c r="F304" s="1" t="n">
        <f aca="false">IFERROR(D304*E304,"")</f>
        <v>0</v>
      </c>
      <c r="G304" s="1" t="n">
        <f aca="false">Campaign_data!F304</f>
        <v>0</v>
      </c>
    </row>
    <row r="305" customFormat="false" ht="12.8" hidden="false" customHeight="false" outlineLevel="0" collapsed="false">
      <c r="A305" s="1" t="n">
        <f aca="false">Campaign_data!A305</f>
        <v>304</v>
      </c>
      <c r="B305" s="1" t="n">
        <f aca="false">Campaign_data!D305</f>
        <v>1170.36</v>
      </c>
      <c r="C305" s="1" t="n">
        <f aca="false">Campaign_data!K305</f>
        <v>0.313330940907071</v>
      </c>
      <c r="D305" s="1" t="n">
        <f aca="false">B305</f>
        <v>1170.36</v>
      </c>
      <c r="E305" s="1" t="n">
        <f aca="false">C305</f>
        <v>0.313330940907071</v>
      </c>
      <c r="F305" s="1" t="n">
        <f aca="false">IFERROR(D305*E305,"")</f>
        <v>366.71</v>
      </c>
      <c r="G305" s="1" t="n">
        <f aca="false">Campaign_data!F305</f>
        <v>366.71</v>
      </c>
    </row>
    <row r="306" customFormat="false" ht="12.8" hidden="true" customHeight="false" outlineLevel="0" collapsed="false">
      <c r="A306" s="1" t="n">
        <f aca="false">Campaign_data!A306</f>
        <v>305</v>
      </c>
      <c r="B306" s="1" t="n">
        <f aca="false">Campaign_data!D306</f>
        <v>0</v>
      </c>
      <c r="C306" s="1" t="str">
        <f aca="false">Campaign_data!K306</f>
        <v/>
      </c>
      <c r="D306" s="1" t="n">
        <f aca="false">B306</f>
        <v>0</v>
      </c>
      <c r="E306" s="1" t="str">
        <f aca="false">C306</f>
        <v/>
      </c>
      <c r="F306" s="1" t="str">
        <f aca="false">IFERROR(D306*E306,"")</f>
        <v/>
      </c>
      <c r="G306" s="1" t="n">
        <f aca="false">Campaign_data!F306</f>
        <v>0</v>
      </c>
    </row>
    <row r="307" customFormat="false" ht="12.8" hidden="true" customHeight="false" outlineLevel="0" collapsed="false">
      <c r="A307" s="1" t="n">
        <f aca="false">Campaign_data!A307</f>
        <v>306</v>
      </c>
      <c r="B307" s="1" t="n">
        <f aca="false">Campaign_data!D307</f>
        <v>0</v>
      </c>
      <c r="C307" s="1" t="str">
        <f aca="false">Campaign_data!K307</f>
        <v/>
      </c>
      <c r="D307" s="1" t="n">
        <f aca="false">B307</f>
        <v>0</v>
      </c>
      <c r="E307" s="1" t="str">
        <f aca="false">C307</f>
        <v/>
      </c>
      <c r="F307" s="1" t="str">
        <f aca="false">IFERROR(D307*E307,"")</f>
        <v/>
      </c>
      <c r="G307" s="1" t="n">
        <f aca="false">Campaign_data!F307</f>
        <v>604.62</v>
      </c>
    </row>
    <row r="308" customFormat="false" ht="12.8" hidden="true" customHeight="false" outlineLevel="0" collapsed="false">
      <c r="A308" s="1" t="n">
        <f aca="false">Campaign_data!A308</f>
        <v>307</v>
      </c>
      <c r="B308" s="1" t="n">
        <f aca="false">Campaign_data!D308</f>
        <v>0</v>
      </c>
      <c r="C308" s="1" t="str">
        <f aca="false">Campaign_data!K308</f>
        <v/>
      </c>
      <c r="D308" s="1" t="n">
        <f aca="false">B308</f>
        <v>0</v>
      </c>
      <c r="E308" s="1" t="str">
        <f aca="false">C308</f>
        <v/>
      </c>
      <c r="F308" s="1" t="str">
        <f aca="false">IFERROR(D308*E308,"")</f>
        <v/>
      </c>
      <c r="G308" s="1" t="n">
        <f aca="false">Campaign_data!F308</f>
        <v>550.19</v>
      </c>
    </row>
    <row r="309" customFormat="false" ht="12.8" hidden="false" customHeight="false" outlineLevel="0" collapsed="false">
      <c r="A309" s="1" t="n">
        <f aca="false">Campaign_data!A309</f>
        <v>308</v>
      </c>
      <c r="B309" s="1" t="n">
        <f aca="false">Campaign_data!D309</f>
        <v>2322.61</v>
      </c>
      <c r="C309" s="1" t="n">
        <f aca="false">Campaign_data!K309</f>
        <v>0.301380774215215</v>
      </c>
      <c r="D309" s="1" t="n">
        <f aca="false">B309</f>
        <v>2322.61</v>
      </c>
      <c r="E309" s="1" t="n">
        <f aca="false">C309</f>
        <v>0.301380774215215</v>
      </c>
      <c r="F309" s="1" t="n">
        <f aca="false">IFERROR(D309*E309,"")</f>
        <v>699.990000000001</v>
      </c>
      <c r="G309" s="1" t="n">
        <f aca="false">Campaign_data!F309</f>
        <v>699.99</v>
      </c>
    </row>
    <row r="310" customFormat="false" ht="12.8" hidden="false" customHeight="false" outlineLevel="0" collapsed="false">
      <c r="A310" s="1" t="n">
        <f aca="false">Campaign_data!A310</f>
        <v>309</v>
      </c>
      <c r="B310" s="1" t="n">
        <f aca="false">Campaign_data!D310</f>
        <v>4999.59</v>
      </c>
      <c r="C310" s="1" t="n">
        <f aca="false">Campaign_data!K310</f>
        <v>0.605431645394922</v>
      </c>
      <c r="D310" s="1" t="n">
        <f aca="false">B310</f>
        <v>4999.59</v>
      </c>
      <c r="E310" s="1" t="n">
        <f aca="false">C310</f>
        <v>0.605431645394922</v>
      </c>
      <c r="F310" s="1" t="n">
        <f aca="false">IFERROR(D310*E310,"")</f>
        <v>3026.91</v>
      </c>
      <c r="G310" s="1" t="n">
        <f aca="false">Campaign_data!F310</f>
        <v>3026.91</v>
      </c>
    </row>
    <row r="311" customFormat="false" ht="12.8" hidden="true" customHeight="false" outlineLevel="0" collapsed="false">
      <c r="A311" s="1" t="n">
        <f aca="false">Campaign_data!A311</f>
        <v>310</v>
      </c>
      <c r="B311" s="1" t="n">
        <f aca="false">Campaign_data!D311</f>
        <v>0</v>
      </c>
      <c r="C311" s="1" t="str">
        <f aca="false">Campaign_data!K311</f>
        <v/>
      </c>
      <c r="D311" s="1" t="n">
        <f aca="false">B311</f>
        <v>0</v>
      </c>
      <c r="E311" s="1" t="str">
        <f aca="false">C311</f>
        <v/>
      </c>
      <c r="F311" s="1" t="str">
        <f aca="false">IFERROR(D311*E311,"")</f>
        <v/>
      </c>
      <c r="G311" s="1" t="n">
        <f aca="false">Campaign_data!F311</f>
        <v>109.66</v>
      </c>
    </row>
    <row r="312" customFormat="false" ht="12.8" hidden="false" customHeight="false" outlineLevel="0" collapsed="false">
      <c r="A312" s="1" t="n">
        <f aca="false">Campaign_data!A312</f>
        <v>311</v>
      </c>
      <c r="B312" s="1" t="n">
        <f aca="false">Campaign_data!D312</f>
        <v>5720.88</v>
      </c>
      <c r="C312" s="1" t="n">
        <f aca="false">Campaign_data!K312</f>
        <v>0.680264225084253</v>
      </c>
      <c r="D312" s="1" t="n">
        <f aca="false">B312</f>
        <v>5720.88</v>
      </c>
      <c r="E312" s="1" t="n">
        <f aca="false">C312</f>
        <v>0.680264225084253</v>
      </c>
      <c r="F312" s="1" t="n">
        <f aca="false">IFERROR(D312*E312,"")</f>
        <v>3891.71</v>
      </c>
      <c r="G312" s="1" t="n">
        <f aca="false">Campaign_data!F312</f>
        <v>3891.71</v>
      </c>
    </row>
    <row r="313" customFormat="false" ht="12.8" hidden="false" customHeight="false" outlineLevel="0" collapsed="false">
      <c r="A313" s="1" t="n">
        <f aca="false">Campaign_data!A313</f>
        <v>312</v>
      </c>
      <c r="B313" s="1" t="n">
        <f aca="false">Campaign_data!D313</f>
        <v>1130.48</v>
      </c>
      <c r="C313" s="1" t="n">
        <f aca="false">Campaign_data!K313</f>
        <v>1.55308364588493</v>
      </c>
      <c r="D313" s="1" t="n">
        <f aca="false">B313</f>
        <v>1130.48</v>
      </c>
      <c r="E313" s="1" t="n">
        <f aca="false">C313</f>
        <v>1.55308364588493</v>
      </c>
      <c r="F313" s="1" t="n">
        <f aca="false">IFERROR(D313*E313,"")</f>
        <v>1755.73</v>
      </c>
      <c r="G313" s="1" t="n">
        <f aca="false">Campaign_data!F313</f>
        <v>1755.73</v>
      </c>
    </row>
    <row r="314" customFormat="false" ht="12.8" hidden="false" customHeight="false" outlineLevel="0" collapsed="false">
      <c r="A314" s="1" t="n">
        <f aca="false">Campaign_data!A314</f>
        <v>313</v>
      </c>
      <c r="B314" s="1" t="n">
        <f aca="false">Campaign_data!D314</f>
        <v>4872.66</v>
      </c>
      <c r="C314" s="1" t="n">
        <f aca="false">Campaign_data!K314</f>
        <v>0.577501816256418</v>
      </c>
      <c r="D314" s="1" t="n">
        <f aca="false">B314</f>
        <v>4872.66</v>
      </c>
      <c r="E314" s="1" t="n">
        <f aca="false">C314</f>
        <v>0.577501816256418</v>
      </c>
      <c r="F314" s="1" t="n">
        <f aca="false">IFERROR(D314*E314,"")</f>
        <v>2813.97</v>
      </c>
      <c r="G314" s="1" t="n">
        <f aca="false">Campaign_data!F314</f>
        <v>2813.97</v>
      </c>
    </row>
    <row r="315" customFormat="false" ht="12.8" hidden="false" customHeight="false" outlineLevel="0" collapsed="false">
      <c r="A315" s="1" t="n">
        <f aca="false">Campaign_data!A315</f>
        <v>314</v>
      </c>
      <c r="B315" s="1" t="n">
        <f aca="false">Campaign_data!D315</f>
        <v>1300.6</v>
      </c>
      <c r="C315" s="1" t="n">
        <f aca="false">Campaign_data!K315</f>
        <v>0.48946640012302</v>
      </c>
      <c r="D315" s="1" t="n">
        <f aca="false">B315</f>
        <v>1300.6</v>
      </c>
      <c r="E315" s="1" t="n">
        <f aca="false">C315</f>
        <v>0.48946640012302</v>
      </c>
      <c r="F315" s="1" t="n">
        <f aca="false">IFERROR(D315*E315,"")</f>
        <v>636.6</v>
      </c>
      <c r="G315" s="1" t="n">
        <f aca="false">Campaign_data!F315</f>
        <v>636.6</v>
      </c>
    </row>
    <row r="316" customFormat="false" ht="12.8" hidden="false" customHeight="false" outlineLevel="0" collapsed="false">
      <c r="A316" s="1" t="n">
        <f aca="false">Campaign_data!A316</f>
        <v>315</v>
      </c>
      <c r="B316" s="1" t="n">
        <f aca="false">Campaign_data!D316</f>
        <v>8441.16</v>
      </c>
      <c r="C316" s="1" t="n">
        <f aca="false">Campaign_data!K316</f>
        <v>0.830879879068754</v>
      </c>
      <c r="D316" s="1" t="n">
        <f aca="false">B316</f>
        <v>8441.16</v>
      </c>
      <c r="E316" s="1" t="n">
        <f aca="false">C316</f>
        <v>0.830879879068754</v>
      </c>
      <c r="F316" s="1" t="n">
        <f aca="false">IFERROR(D316*E316,"")</f>
        <v>7013.59</v>
      </c>
      <c r="G316" s="1" t="n">
        <f aca="false">Campaign_data!F316</f>
        <v>7013.59</v>
      </c>
    </row>
    <row r="317" customFormat="false" ht="12.8" hidden="false" customHeight="false" outlineLevel="0" collapsed="false">
      <c r="A317" s="1" t="n">
        <f aca="false">Campaign_data!A317</f>
        <v>316</v>
      </c>
      <c r="B317" s="1" t="n">
        <f aca="false">Campaign_data!D317</f>
        <v>2754.14</v>
      </c>
      <c r="C317" s="1" t="n">
        <f aca="false">Campaign_data!K317</f>
        <v>0.568616700676073</v>
      </c>
      <c r="D317" s="1" t="n">
        <f aca="false">B317</f>
        <v>2754.14</v>
      </c>
      <c r="E317" s="1" t="n">
        <f aca="false">C317</f>
        <v>0.568616700676073</v>
      </c>
      <c r="F317" s="1" t="n">
        <f aca="false">IFERROR(D317*E317,"")</f>
        <v>1566.05</v>
      </c>
      <c r="G317" s="1" t="n">
        <f aca="false">Campaign_data!F317</f>
        <v>1566.05</v>
      </c>
    </row>
    <row r="318" customFormat="false" ht="12.8" hidden="false" customHeight="false" outlineLevel="0" collapsed="false">
      <c r="A318" s="1" t="n">
        <f aca="false">Campaign_data!A318</f>
        <v>317</v>
      </c>
      <c r="B318" s="1" t="n">
        <f aca="false">Campaign_data!D318</f>
        <v>4084.05</v>
      </c>
      <c r="C318" s="1" t="n">
        <f aca="false">Campaign_data!K318</f>
        <v>0.684122378521321</v>
      </c>
      <c r="D318" s="1" t="n">
        <f aca="false">B318</f>
        <v>4084.05</v>
      </c>
      <c r="E318" s="1" t="n">
        <f aca="false">C318</f>
        <v>0.684122378521321</v>
      </c>
      <c r="F318" s="1" t="n">
        <f aca="false">IFERROR(D318*E318,"")</f>
        <v>2793.99</v>
      </c>
      <c r="G318" s="1" t="n">
        <f aca="false">Campaign_data!F318</f>
        <v>2793.99</v>
      </c>
    </row>
    <row r="319" customFormat="false" ht="12.8" hidden="false" customHeight="false" outlineLevel="0" collapsed="false">
      <c r="A319" s="1" t="n">
        <f aca="false">Campaign_data!A319</f>
        <v>318</v>
      </c>
      <c r="B319" s="1" t="n">
        <f aca="false">Campaign_data!D319</f>
        <v>216.96</v>
      </c>
      <c r="C319" s="1" t="n">
        <f aca="false">Campaign_data!K319</f>
        <v>0</v>
      </c>
      <c r="D319" s="1" t="n">
        <f aca="false">B319</f>
        <v>216.96</v>
      </c>
      <c r="E319" s="1" t="n">
        <f aca="false">C319</f>
        <v>0</v>
      </c>
      <c r="F319" s="1" t="n">
        <f aca="false">IFERROR(D319*E319,"")</f>
        <v>0</v>
      </c>
      <c r="G319" s="1" t="n">
        <f aca="false">Campaign_data!F319</f>
        <v>0</v>
      </c>
    </row>
    <row r="320" customFormat="false" ht="12.8" hidden="true" customHeight="false" outlineLevel="0" collapsed="false">
      <c r="A320" s="1" t="n">
        <f aca="false">Campaign_data!A320</f>
        <v>319</v>
      </c>
      <c r="B320" s="1" t="n">
        <f aca="false">Campaign_data!D320</f>
        <v>0</v>
      </c>
      <c r="C320" s="1" t="str">
        <f aca="false">Campaign_data!K320</f>
        <v/>
      </c>
      <c r="D320" s="1" t="n">
        <f aca="false">B320</f>
        <v>0</v>
      </c>
      <c r="E320" s="1" t="str">
        <f aca="false">C320</f>
        <v/>
      </c>
      <c r="F320" s="1" t="str">
        <f aca="false">IFERROR(D320*E320,"")</f>
        <v/>
      </c>
      <c r="G320" s="1" t="n">
        <f aca="false">Campaign_data!F320</f>
        <v>1413.29</v>
      </c>
    </row>
    <row r="321" customFormat="false" ht="12.8" hidden="true" customHeight="false" outlineLevel="0" collapsed="false">
      <c r="A321" s="1" t="n">
        <f aca="false">Campaign_data!A321</f>
        <v>320</v>
      </c>
      <c r="B321" s="1" t="n">
        <f aca="false">Campaign_data!D321</f>
        <v>0</v>
      </c>
      <c r="C321" s="1" t="str">
        <f aca="false">Campaign_data!K321</f>
        <v/>
      </c>
      <c r="D321" s="1" t="n">
        <f aca="false">B321</f>
        <v>0</v>
      </c>
      <c r="E321" s="1" t="str">
        <f aca="false">C321</f>
        <v/>
      </c>
      <c r="F321" s="1" t="str">
        <f aca="false">IFERROR(D321*E321,"")</f>
        <v/>
      </c>
      <c r="G321" s="1" t="n">
        <f aca="false">Campaign_data!F321</f>
        <v>589.14</v>
      </c>
    </row>
    <row r="322" customFormat="false" ht="12.8" hidden="true" customHeight="false" outlineLevel="0" collapsed="false">
      <c r="A322" s="1" t="n">
        <f aca="false">Campaign_data!A322</f>
        <v>321</v>
      </c>
      <c r="B322" s="1" t="n">
        <f aca="false">Campaign_data!D322</f>
        <v>0</v>
      </c>
      <c r="C322" s="1" t="str">
        <f aca="false">Campaign_data!K322</f>
        <v/>
      </c>
      <c r="D322" s="1" t="n">
        <f aca="false">B322</f>
        <v>0</v>
      </c>
      <c r="E322" s="1" t="str">
        <f aca="false">C322</f>
        <v/>
      </c>
      <c r="F322" s="1" t="str">
        <f aca="false">IFERROR(D322*E322,"")</f>
        <v/>
      </c>
      <c r="G322" s="1" t="n">
        <f aca="false">Campaign_data!F322</f>
        <v>0</v>
      </c>
    </row>
    <row r="323" customFormat="false" ht="12.8" hidden="false" customHeight="false" outlineLevel="0" collapsed="false">
      <c r="A323" s="1" t="n">
        <f aca="false">Campaign_data!A323</f>
        <v>322</v>
      </c>
      <c r="B323" s="1" t="n">
        <f aca="false">Campaign_data!D323</f>
        <v>5574.97</v>
      </c>
      <c r="C323" s="1" t="n">
        <f aca="false">Campaign_data!K323</f>
        <v>0.513679894241583</v>
      </c>
      <c r="D323" s="1" t="n">
        <f aca="false">B323</f>
        <v>5574.97</v>
      </c>
      <c r="E323" s="1" t="n">
        <f aca="false">C323</f>
        <v>0.513679894241583</v>
      </c>
      <c r="F323" s="1" t="n">
        <f aca="false">IFERROR(D323*E323,"")</f>
        <v>2863.75</v>
      </c>
      <c r="G323" s="1" t="n">
        <f aca="false">Campaign_data!F323</f>
        <v>2863.75</v>
      </c>
    </row>
    <row r="324" customFormat="false" ht="12.8" hidden="true" customHeight="false" outlineLevel="0" collapsed="false">
      <c r="A324" s="1" t="n">
        <f aca="false">Campaign_data!A324</f>
        <v>323</v>
      </c>
      <c r="B324" s="1" t="n">
        <f aca="false">Campaign_data!D324</f>
        <v>0</v>
      </c>
      <c r="C324" s="1" t="str">
        <f aca="false">Campaign_data!K324</f>
        <v/>
      </c>
      <c r="D324" s="1" t="n">
        <f aca="false">B324</f>
        <v>0</v>
      </c>
      <c r="E324" s="1" t="str">
        <f aca="false">C324</f>
        <v/>
      </c>
      <c r="F324" s="1" t="str">
        <f aca="false">IFERROR(D324*E324,"")</f>
        <v/>
      </c>
      <c r="G324" s="1" t="n">
        <f aca="false">Campaign_data!F324</f>
        <v>0</v>
      </c>
    </row>
    <row r="325" customFormat="false" ht="12.8" hidden="true" customHeight="false" outlineLevel="0" collapsed="false">
      <c r="A325" s="1" t="n">
        <f aca="false">Campaign_data!A325</f>
        <v>324</v>
      </c>
      <c r="B325" s="1" t="n">
        <f aca="false">Campaign_data!D325</f>
        <v>0</v>
      </c>
      <c r="C325" s="1" t="str">
        <f aca="false">Campaign_data!K325</f>
        <v/>
      </c>
      <c r="D325" s="1" t="n">
        <f aca="false">B325</f>
        <v>0</v>
      </c>
      <c r="E325" s="1" t="str">
        <f aca="false">C325</f>
        <v/>
      </c>
      <c r="F325" s="1" t="str">
        <f aca="false">IFERROR(D325*E325,"")</f>
        <v/>
      </c>
      <c r="G325" s="1" t="n">
        <f aca="false">Campaign_data!F325</f>
        <v>0</v>
      </c>
    </row>
    <row r="326" customFormat="false" ht="12.8" hidden="false" customHeight="false" outlineLevel="0" collapsed="false">
      <c r="A326" s="1" t="n">
        <f aca="false">Campaign_data!A326</f>
        <v>325</v>
      </c>
      <c r="B326" s="1" t="n">
        <f aca="false">Campaign_data!D326</f>
        <v>8631.18</v>
      </c>
      <c r="C326" s="1" t="n">
        <f aca="false">Campaign_data!K326</f>
        <v>0.504979620399528</v>
      </c>
      <c r="D326" s="1" t="n">
        <f aca="false">B326</f>
        <v>8631.18</v>
      </c>
      <c r="E326" s="1" t="n">
        <f aca="false">C326</f>
        <v>0.504979620399528</v>
      </c>
      <c r="F326" s="1" t="n">
        <f aca="false">IFERROR(D326*E326,"")</f>
        <v>4358.57</v>
      </c>
      <c r="G326" s="1" t="n">
        <f aca="false">Campaign_data!F326</f>
        <v>4358.57</v>
      </c>
    </row>
    <row r="327" customFormat="false" ht="12.8" hidden="true" customHeight="false" outlineLevel="0" collapsed="false">
      <c r="A327" s="1" t="n">
        <f aca="false">Campaign_data!A327</f>
        <v>326</v>
      </c>
      <c r="B327" s="1" t="n">
        <f aca="false">Campaign_data!D327</f>
        <v>0</v>
      </c>
      <c r="C327" s="1" t="str">
        <f aca="false">Campaign_data!K327</f>
        <v/>
      </c>
      <c r="D327" s="1" t="n">
        <f aca="false">B327</f>
        <v>0</v>
      </c>
      <c r="E327" s="1" t="str">
        <f aca="false">C327</f>
        <v/>
      </c>
      <c r="F327" s="1" t="str">
        <f aca="false">IFERROR(D327*E327,"")</f>
        <v/>
      </c>
      <c r="G327" s="1" t="n">
        <f aca="false">Campaign_data!F327</f>
        <v>1513.93</v>
      </c>
    </row>
    <row r="328" customFormat="false" ht="12.8" hidden="true" customHeight="false" outlineLevel="0" collapsed="false">
      <c r="A328" s="1" t="n">
        <f aca="false">Campaign_data!A328</f>
        <v>327</v>
      </c>
      <c r="B328" s="1" t="n">
        <f aca="false">Campaign_data!D328</f>
        <v>0</v>
      </c>
      <c r="C328" s="1" t="str">
        <f aca="false">Campaign_data!K328</f>
        <v/>
      </c>
      <c r="D328" s="1" t="n">
        <f aca="false">B328</f>
        <v>0</v>
      </c>
      <c r="E328" s="1" t="str">
        <f aca="false">C328</f>
        <v/>
      </c>
      <c r="F328" s="1" t="str">
        <f aca="false">IFERROR(D328*E328,"")</f>
        <v/>
      </c>
      <c r="G328" s="1" t="n">
        <f aca="false">Campaign_data!F328</f>
        <v>0</v>
      </c>
    </row>
    <row r="329" customFormat="false" ht="12.8" hidden="false" customHeight="false" outlineLevel="0" collapsed="false">
      <c r="A329" s="1" t="n">
        <f aca="false">Campaign_data!A329</f>
        <v>328</v>
      </c>
      <c r="B329" s="1" t="n">
        <f aca="false">Campaign_data!D329</f>
        <v>976.78</v>
      </c>
      <c r="C329" s="1" t="n">
        <f aca="false">Campaign_data!K329</f>
        <v>0.133766047625873</v>
      </c>
      <c r="D329" s="1" t="n">
        <f aca="false">B329</f>
        <v>976.78</v>
      </c>
      <c r="E329" s="1" t="n">
        <f aca="false">C329</f>
        <v>0.133766047625873</v>
      </c>
      <c r="F329" s="1" t="n">
        <f aca="false">IFERROR(D329*E329,"")</f>
        <v>130.66</v>
      </c>
      <c r="G329" s="1" t="n">
        <f aca="false">Campaign_data!F329</f>
        <v>130.66</v>
      </c>
    </row>
    <row r="330" customFormat="false" ht="12.8" hidden="false" customHeight="false" outlineLevel="0" collapsed="false">
      <c r="A330" s="1" t="n">
        <f aca="false">Campaign_data!A330</f>
        <v>329</v>
      </c>
      <c r="B330" s="1" t="n">
        <f aca="false">Campaign_data!D330</f>
        <v>2966.87</v>
      </c>
      <c r="C330" s="1" t="n">
        <f aca="false">Campaign_data!K330</f>
        <v>0.173691466090526</v>
      </c>
      <c r="D330" s="1" t="n">
        <f aca="false">B330</f>
        <v>2966.87</v>
      </c>
      <c r="E330" s="1" t="n">
        <f aca="false">C330</f>
        <v>0.173691466090526</v>
      </c>
      <c r="F330" s="1" t="n">
        <f aca="false">IFERROR(D330*E330,"")</f>
        <v>515.319999999999</v>
      </c>
      <c r="G330" s="1" t="n">
        <f aca="false">Campaign_data!F330</f>
        <v>515.32</v>
      </c>
    </row>
    <row r="331" customFormat="false" ht="12.8" hidden="false" customHeight="false" outlineLevel="0" collapsed="false">
      <c r="A331" s="1" t="n">
        <f aca="false">Campaign_data!A331</f>
        <v>330</v>
      </c>
      <c r="B331" s="1" t="n">
        <f aca="false">Campaign_data!D331</f>
        <v>1528.48</v>
      </c>
      <c r="C331" s="1" t="n">
        <f aca="false">Campaign_data!K331</f>
        <v>0.0958141421542971</v>
      </c>
      <c r="D331" s="1" t="n">
        <f aca="false">B331</f>
        <v>1528.48</v>
      </c>
      <c r="E331" s="1" t="n">
        <f aca="false">C331</f>
        <v>0.0958141421542971</v>
      </c>
      <c r="F331" s="1" t="n">
        <f aca="false">IFERROR(D331*E331,"")</f>
        <v>146.45</v>
      </c>
      <c r="G331" s="1" t="n">
        <f aca="false">Campaign_data!F331</f>
        <v>146.45</v>
      </c>
    </row>
    <row r="332" customFormat="false" ht="12.8" hidden="false" customHeight="false" outlineLevel="0" collapsed="false">
      <c r="A332" s="1" t="n">
        <f aca="false">Campaign_data!A332</f>
        <v>331</v>
      </c>
      <c r="B332" s="1" t="n">
        <f aca="false">Campaign_data!D332</f>
        <v>196.55</v>
      </c>
      <c r="C332" s="1" t="n">
        <f aca="false">Campaign_data!K332</f>
        <v>0</v>
      </c>
      <c r="D332" s="1" t="n">
        <f aca="false">B332</f>
        <v>196.55</v>
      </c>
      <c r="E332" s="1" t="n">
        <f aca="false">C332</f>
        <v>0</v>
      </c>
      <c r="F332" s="1" t="n">
        <f aca="false">IFERROR(D332*E332,"")</f>
        <v>0</v>
      </c>
      <c r="G332" s="1" t="n">
        <f aca="false">Campaign_data!F332</f>
        <v>0</v>
      </c>
    </row>
    <row r="333" customFormat="false" ht="12.8" hidden="true" customHeight="false" outlineLevel="0" collapsed="false">
      <c r="A333" s="1" t="n">
        <f aca="false">Campaign_data!A333</f>
        <v>332</v>
      </c>
      <c r="B333" s="1" t="n">
        <f aca="false">Campaign_data!D333</f>
        <v>0</v>
      </c>
      <c r="C333" s="1" t="str">
        <f aca="false">Campaign_data!K333</f>
        <v/>
      </c>
      <c r="D333" s="1" t="n">
        <f aca="false">B333</f>
        <v>0</v>
      </c>
      <c r="E333" s="1" t="str">
        <f aca="false">C333</f>
        <v/>
      </c>
      <c r="F333" s="1" t="str">
        <f aca="false">IFERROR(D333*E333,"")</f>
        <v/>
      </c>
      <c r="G333" s="1" t="n">
        <f aca="false">Campaign_data!F333</f>
        <v>166.37</v>
      </c>
    </row>
    <row r="334" customFormat="false" ht="12.8" hidden="true" customHeight="false" outlineLevel="0" collapsed="false">
      <c r="A334" s="1" t="n">
        <f aca="false">Campaign_data!A334</f>
        <v>333</v>
      </c>
      <c r="B334" s="1" t="n">
        <f aca="false">Campaign_data!D334</f>
        <v>0</v>
      </c>
      <c r="C334" s="1" t="str">
        <f aca="false">Campaign_data!K334</f>
        <v/>
      </c>
      <c r="D334" s="1" t="n">
        <f aca="false">B334</f>
        <v>0</v>
      </c>
      <c r="E334" s="1" t="str">
        <f aca="false">C334</f>
        <v/>
      </c>
      <c r="F334" s="1" t="str">
        <f aca="false">IFERROR(D334*E334,"")</f>
        <v/>
      </c>
      <c r="G334" s="1" t="n">
        <f aca="false">Campaign_data!F334</f>
        <v>8625.93</v>
      </c>
    </row>
    <row r="335" customFormat="false" ht="12.8" hidden="false" customHeight="false" outlineLevel="0" collapsed="false">
      <c r="A335" s="1" t="n">
        <f aca="false">Campaign_data!A335</f>
        <v>334</v>
      </c>
      <c r="B335" s="1" t="n">
        <f aca="false">Campaign_data!D335</f>
        <v>2097.45</v>
      </c>
      <c r="C335" s="1" t="n">
        <f aca="false">Campaign_data!K335</f>
        <v>0.341695868793058</v>
      </c>
      <c r="D335" s="1" t="n">
        <f aca="false">B335</f>
        <v>2097.45</v>
      </c>
      <c r="E335" s="1" t="n">
        <f aca="false">C335</f>
        <v>0.341695868793058</v>
      </c>
      <c r="F335" s="1" t="n">
        <f aca="false">IFERROR(D335*E335,"")</f>
        <v>716.69</v>
      </c>
      <c r="G335" s="1" t="n">
        <f aca="false">Campaign_data!F335</f>
        <v>716.69</v>
      </c>
    </row>
    <row r="336" customFormat="false" ht="12.8" hidden="false" customHeight="false" outlineLevel="0" collapsed="false">
      <c r="A336" s="1" t="n">
        <f aca="false">Campaign_data!A336</f>
        <v>335</v>
      </c>
      <c r="B336" s="1" t="n">
        <f aca="false">Campaign_data!D336</f>
        <v>659.33</v>
      </c>
      <c r="C336" s="1" t="n">
        <f aca="false">Campaign_data!K336</f>
        <v>0.611666388606616</v>
      </c>
      <c r="D336" s="1" t="n">
        <f aca="false">B336</f>
        <v>659.33</v>
      </c>
      <c r="E336" s="1" t="n">
        <f aca="false">C336</f>
        <v>0.611666388606616</v>
      </c>
      <c r="F336" s="1" t="n">
        <f aca="false">IFERROR(D336*E336,"")</f>
        <v>403.29</v>
      </c>
      <c r="G336" s="1" t="n">
        <f aca="false">Campaign_data!F336</f>
        <v>403.29</v>
      </c>
    </row>
    <row r="337" customFormat="false" ht="12.8" hidden="true" customHeight="false" outlineLevel="0" collapsed="false">
      <c r="A337" s="1" t="n">
        <f aca="false">Campaign_data!A337</f>
        <v>336</v>
      </c>
      <c r="B337" s="1" t="n">
        <f aca="false">Campaign_data!D337</f>
        <v>0</v>
      </c>
      <c r="C337" s="1" t="str">
        <f aca="false">Campaign_data!K337</f>
        <v/>
      </c>
      <c r="D337" s="1" t="n">
        <f aca="false">B337</f>
        <v>0</v>
      </c>
      <c r="E337" s="1" t="str">
        <f aca="false">C337</f>
        <v/>
      </c>
      <c r="F337" s="1" t="str">
        <f aca="false">IFERROR(D337*E337,"")</f>
        <v/>
      </c>
      <c r="G337" s="1" t="n">
        <f aca="false">Campaign_data!F337</f>
        <v>0</v>
      </c>
    </row>
    <row r="338" customFormat="false" ht="12.8" hidden="false" customHeight="false" outlineLevel="0" collapsed="false">
      <c r="A338" s="1" t="n">
        <f aca="false">Campaign_data!A338</f>
        <v>337</v>
      </c>
      <c r="B338" s="1" t="n">
        <f aca="false">Campaign_data!D338</f>
        <v>5854.05</v>
      </c>
      <c r="C338" s="1" t="n">
        <f aca="false">Campaign_data!K338</f>
        <v>0.727933652770304</v>
      </c>
      <c r="D338" s="1" t="n">
        <f aca="false">B338</f>
        <v>5854.05</v>
      </c>
      <c r="E338" s="1" t="n">
        <f aca="false">C338</f>
        <v>0.727933652770304</v>
      </c>
      <c r="F338" s="1" t="n">
        <f aca="false">IFERROR(D338*E338,"")</f>
        <v>4261.36</v>
      </c>
      <c r="G338" s="1" t="n">
        <f aca="false">Campaign_data!F338</f>
        <v>4261.36</v>
      </c>
    </row>
    <row r="339" customFormat="false" ht="12.8" hidden="false" customHeight="false" outlineLevel="0" collapsed="false">
      <c r="A339" s="1" t="n">
        <f aca="false">Campaign_data!A339</f>
        <v>338</v>
      </c>
      <c r="B339" s="1" t="n">
        <f aca="false">Campaign_data!D339</f>
        <v>429.7</v>
      </c>
      <c r="C339" s="1" t="n">
        <f aca="false">Campaign_data!K339</f>
        <v>0.133535024435653</v>
      </c>
      <c r="D339" s="1" t="n">
        <f aca="false">B339</f>
        <v>429.7</v>
      </c>
      <c r="E339" s="1" t="n">
        <f aca="false">C339</f>
        <v>0.133535024435653</v>
      </c>
      <c r="F339" s="1" t="n">
        <f aca="false">IFERROR(D339*E339,"")</f>
        <v>57.3800000000001</v>
      </c>
      <c r="G339" s="1" t="n">
        <f aca="false">Campaign_data!F339</f>
        <v>57.38</v>
      </c>
    </row>
    <row r="340" customFormat="false" ht="12.8" hidden="false" customHeight="false" outlineLevel="0" collapsed="false">
      <c r="A340" s="1" t="n">
        <f aca="false">Campaign_data!A340</f>
        <v>339</v>
      </c>
      <c r="B340" s="1" t="n">
        <f aca="false">Campaign_data!D340</f>
        <v>1398.9</v>
      </c>
      <c r="C340" s="1" t="n">
        <f aca="false">Campaign_data!K340</f>
        <v>0.527593108871256</v>
      </c>
      <c r="D340" s="1" t="n">
        <f aca="false">B340</f>
        <v>1398.9</v>
      </c>
      <c r="E340" s="1" t="n">
        <f aca="false">C340</f>
        <v>0.527593108871256</v>
      </c>
      <c r="F340" s="1" t="n">
        <f aca="false">IFERROR(D340*E340,"")</f>
        <v>738.05</v>
      </c>
      <c r="G340" s="1" t="n">
        <f aca="false">Campaign_data!F340</f>
        <v>738.05</v>
      </c>
    </row>
    <row r="341" customFormat="false" ht="12.8" hidden="false" customHeight="false" outlineLevel="0" collapsed="false">
      <c r="A341" s="1" t="n">
        <f aca="false">Campaign_data!A341</f>
        <v>340</v>
      </c>
      <c r="B341" s="1" t="n">
        <f aca="false">Campaign_data!D341</f>
        <v>105.95</v>
      </c>
      <c r="C341" s="1" t="n">
        <f aca="false">Campaign_data!K341</f>
        <v>0</v>
      </c>
      <c r="D341" s="1" t="n">
        <f aca="false">B341</f>
        <v>105.95</v>
      </c>
      <c r="E341" s="1" t="n">
        <f aca="false">C341</f>
        <v>0</v>
      </c>
      <c r="F341" s="1" t="n">
        <f aca="false">IFERROR(D341*E341,"")</f>
        <v>0</v>
      </c>
      <c r="G341" s="1" t="n">
        <f aca="false">Campaign_data!F341</f>
        <v>0</v>
      </c>
    </row>
    <row r="342" customFormat="false" ht="12.8" hidden="true" customHeight="false" outlineLevel="0" collapsed="false">
      <c r="A342" s="1" t="n">
        <f aca="false">Campaign_data!A342</f>
        <v>341</v>
      </c>
      <c r="B342" s="1" t="n">
        <f aca="false">Campaign_data!D342</f>
        <v>0</v>
      </c>
      <c r="C342" s="1" t="str">
        <f aca="false">Campaign_data!K342</f>
        <v/>
      </c>
      <c r="D342" s="1" t="n">
        <f aca="false">B342</f>
        <v>0</v>
      </c>
      <c r="E342" s="1" t="str">
        <f aca="false">C342</f>
        <v/>
      </c>
      <c r="F342" s="1" t="str">
        <f aca="false">IFERROR(D342*E342,"")</f>
        <v/>
      </c>
      <c r="G342" s="1" t="n">
        <f aca="false">Campaign_data!F342</f>
        <v>0</v>
      </c>
    </row>
    <row r="343" customFormat="false" ht="12.8" hidden="false" customHeight="false" outlineLevel="0" collapsed="false">
      <c r="A343" s="1" t="n">
        <f aca="false">Campaign_data!A343</f>
        <v>342</v>
      </c>
      <c r="B343" s="1" t="n">
        <f aca="false">Campaign_data!D343</f>
        <v>4267.95</v>
      </c>
      <c r="C343" s="1" t="n">
        <f aca="false">Campaign_data!K343</f>
        <v>0.695099520847245</v>
      </c>
      <c r="D343" s="1" t="n">
        <f aca="false">B343</f>
        <v>4267.95</v>
      </c>
      <c r="E343" s="1" t="n">
        <f aca="false">C343</f>
        <v>0.695099520847245</v>
      </c>
      <c r="F343" s="1" t="n">
        <f aca="false">IFERROR(D343*E343,"")</f>
        <v>2966.65</v>
      </c>
      <c r="G343" s="1" t="n">
        <f aca="false">Campaign_data!F343</f>
        <v>2966.65</v>
      </c>
    </row>
    <row r="344" customFormat="false" ht="12.8" hidden="false" customHeight="false" outlineLevel="0" collapsed="false">
      <c r="A344" s="1" t="n">
        <f aca="false">Campaign_data!A344</f>
        <v>343</v>
      </c>
      <c r="B344" s="1" t="n">
        <f aca="false">Campaign_data!D344</f>
        <v>668.87</v>
      </c>
      <c r="C344" s="1" t="n">
        <f aca="false">Campaign_data!K344</f>
        <v>0</v>
      </c>
      <c r="D344" s="1" t="n">
        <f aca="false">B344</f>
        <v>668.87</v>
      </c>
      <c r="E344" s="1" t="n">
        <f aca="false">C344</f>
        <v>0</v>
      </c>
      <c r="F344" s="1" t="n">
        <f aca="false">IFERROR(D344*E344,"")</f>
        <v>0</v>
      </c>
      <c r="G344" s="1" t="n">
        <f aca="false">Campaign_data!F344</f>
        <v>0</v>
      </c>
    </row>
    <row r="345" customFormat="false" ht="12.8" hidden="false" customHeight="false" outlineLevel="0" collapsed="false">
      <c r="A345" s="1" t="n">
        <f aca="false">Campaign_data!A345</f>
        <v>344</v>
      </c>
      <c r="B345" s="1" t="n">
        <f aca="false">Campaign_data!D345</f>
        <v>2035.43</v>
      </c>
      <c r="C345" s="1" t="n">
        <f aca="false">Campaign_data!K345</f>
        <v>0.630579287914593</v>
      </c>
      <c r="D345" s="1" t="n">
        <f aca="false">B345</f>
        <v>2035.43</v>
      </c>
      <c r="E345" s="1" t="n">
        <f aca="false">C345</f>
        <v>0.630579287914593</v>
      </c>
      <c r="F345" s="1" t="n">
        <f aca="false">IFERROR(D345*E345,"")</f>
        <v>1283.5</v>
      </c>
      <c r="G345" s="1" t="n">
        <f aca="false">Campaign_data!F345</f>
        <v>1283.5</v>
      </c>
    </row>
    <row r="346" customFormat="false" ht="12.8" hidden="false" customHeight="false" outlineLevel="0" collapsed="false">
      <c r="A346" s="1" t="n">
        <f aca="false">Campaign_data!A346</f>
        <v>345</v>
      </c>
      <c r="B346" s="1" t="n">
        <f aca="false">Campaign_data!D346</f>
        <v>2515.09</v>
      </c>
      <c r="C346" s="1" t="n">
        <f aca="false">Campaign_data!K346</f>
        <v>0.415154129673292</v>
      </c>
      <c r="D346" s="1" t="n">
        <f aca="false">B346</f>
        <v>2515.09</v>
      </c>
      <c r="E346" s="1" t="n">
        <f aca="false">C346</f>
        <v>0.415154129673292</v>
      </c>
      <c r="F346" s="1" t="n">
        <f aca="false">IFERROR(D346*E346,"")</f>
        <v>1044.15</v>
      </c>
      <c r="G346" s="1" t="n">
        <f aca="false">Campaign_data!F346</f>
        <v>1044.15</v>
      </c>
    </row>
    <row r="347" customFormat="false" ht="12.8" hidden="false" customHeight="false" outlineLevel="0" collapsed="false">
      <c r="A347" s="1" t="n">
        <f aca="false">Campaign_data!A347</f>
        <v>346</v>
      </c>
      <c r="B347" s="1" t="n">
        <f aca="false">Campaign_data!D347</f>
        <v>135.35</v>
      </c>
      <c r="C347" s="1" t="n">
        <f aca="false">Campaign_data!K347</f>
        <v>0</v>
      </c>
      <c r="D347" s="1" t="n">
        <f aca="false">B347</f>
        <v>135.35</v>
      </c>
      <c r="E347" s="1" t="n">
        <f aca="false">C347</f>
        <v>0</v>
      </c>
      <c r="F347" s="1" t="n">
        <f aca="false">IFERROR(D347*E347,"")</f>
        <v>0</v>
      </c>
      <c r="G347" s="1" t="n">
        <f aca="false">Campaign_data!F347</f>
        <v>0</v>
      </c>
    </row>
    <row r="348" customFormat="false" ht="12.8" hidden="false" customHeight="false" outlineLevel="0" collapsed="false">
      <c r="A348" s="1" t="n">
        <f aca="false">Campaign_data!A348</f>
        <v>347</v>
      </c>
      <c r="B348" s="1" t="n">
        <f aca="false">Campaign_data!D348</f>
        <v>4536.97</v>
      </c>
      <c r="C348" s="1" t="n">
        <f aca="false">Campaign_data!K348</f>
        <v>0.460011858134394</v>
      </c>
      <c r="D348" s="1" t="n">
        <f aca="false">B348</f>
        <v>4536.97</v>
      </c>
      <c r="E348" s="1" t="n">
        <f aca="false">C348</f>
        <v>0.460011858134394</v>
      </c>
      <c r="F348" s="1" t="n">
        <f aca="false">IFERROR(D348*E348,"")</f>
        <v>2087.06</v>
      </c>
      <c r="G348" s="1" t="n">
        <f aca="false">Campaign_data!F348</f>
        <v>2087.06</v>
      </c>
    </row>
    <row r="349" customFormat="false" ht="12.8" hidden="false" customHeight="false" outlineLevel="0" collapsed="false">
      <c r="A349" s="1" t="n">
        <f aca="false">Campaign_data!A349</f>
        <v>348</v>
      </c>
      <c r="B349" s="1" t="n">
        <f aca="false">Campaign_data!D349</f>
        <v>436.61</v>
      </c>
      <c r="C349" s="1" t="n">
        <f aca="false">Campaign_data!K349</f>
        <v>0.218707771237489</v>
      </c>
      <c r="D349" s="1" t="n">
        <f aca="false">B349</f>
        <v>436.61</v>
      </c>
      <c r="E349" s="1" t="n">
        <f aca="false">C349</f>
        <v>0.218707771237489</v>
      </c>
      <c r="F349" s="1" t="n">
        <f aca="false">IFERROR(D349*E349,"")</f>
        <v>95.4900000000001</v>
      </c>
      <c r="G349" s="1" t="n">
        <f aca="false">Campaign_data!F349</f>
        <v>95.49</v>
      </c>
    </row>
    <row r="350" customFormat="false" ht="12.8" hidden="true" customHeight="false" outlineLevel="0" collapsed="false">
      <c r="A350" s="1" t="n">
        <f aca="false">Campaign_data!A350</f>
        <v>349</v>
      </c>
      <c r="B350" s="1" t="n">
        <f aca="false">Campaign_data!D350</f>
        <v>0</v>
      </c>
      <c r="C350" s="1" t="str">
        <f aca="false">Campaign_data!K350</f>
        <v/>
      </c>
      <c r="D350" s="1" t="n">
        <f aca="false">B350</f>
        <v>0</v>
      </c>
      <c r="E350" s="1" t="str">
        <f aca="false">C350</f>
        <v/>
      </c>
      <c r="F350" s="1" t="str">
        <f aca="false">IFERROR(D350*E350,"")</f>
        <v/>
      </c>
      <c r="G350" s="1" t="n">
        <f aca="false">Campaign_data!F350</f>
        <v>0</v>
      </c>
    </row>
    <row r="351" customFormat="false" ht="12.8" hidden="false" customHeight="false" outlineLevel="0" collapsed="false">
      <c r="A351" s="1" t="n">
        <f aca="false">Campaign_data!A351</f>
        <v>350</v>
      </c>
      <c r="B351" s="1" t="n">
        <f aca="false">Campaign_data!D351</f>
        <v>319.94</v>
      </c>
      <c r="C351" s="1" t="n">
        <f aca="false">Campaign_data!K351</f>
        <v>0</v>
      </c>
      <c r="D351" s="1" t="n">
        <f aca="false">B351</f>
        <v>319.94</v>
      </c>
      <c r="E351" s="1" t="n">
        <f aca="false">C351</f>
        <v>0</v>
      </c>
      <c r="F351" s="1" t="n">
        <f aca="false">IFERROR(D351*E351,"")</f>
        <v>0</v>
      </c>
      <c r="G351" s="1" t="n">
        <f aca="false">Campaign_data!F351</f>
        <v>0</v>
      </c>
    </row>
    <row r="352" customFormat="false" ht="12.8" hidden="true" customHeight="false" outlineLevel="0" collapsed="false">
      <c r="A352" s="1" t="n">
        <f aca="false">Campaign_data!A352</f>
        <v>351</v>
      </c>
      <c r="B352" s="1" t="n">
        <f aca="false">Campaign_data!D352</f>
        <v>0</v>
      </c>
      <c r="C352" s="1" t="str">
        <f aca="false">Campaign_data!K352</f>
        <v/>
      </c>
      <c r="D352" s="1" t="n">
        <f aca="false">B352</f>
        <v>0</v>
      </c>
      <c r="E352" s="1" t="str">
        <f aca="false">C352</f>
        <v/>
      </c>
      <c r="F352" s="1" t="str">
        <f aca="false">IFERROR(D352*E352,"")</f>
        <v/>
      </c>
      <c r="G352" s="1" t="n">
        <f aca="false">Campaign_data!F352</f>
        <v>0</v>
      </c>
    </row>
    <row r="353" customFormat="false" ht="12.8" hidden="true" customHeight="false" outlineLevel="0" collapsed="false">
      <c r="A353" s="1" t="n">
        <f aca="false">Campaign_data!A353</f>
        <v>352</v>
      </c>
      <c r="B353" s="1" t="n">
        <f aca="false">Campaign_data!D353</f>
        <v>0</v>
      </c>
      <c r="C353" s="1" t="str">
        <f aca="false">Campaign_data!K353</f>
        <v/>
      </c>
      <c r="D353" s="1" t="n">
        <f aca="false">B353</f>
        <v>0</v>
      </c>
      <c r="E353" s="1" t="str">
        <f aca="false">C353</f>
        <v/>
      </c>
      <c r="F353" s="1" t="str">
        <f aca="false">IFERROR(D353*E353,"")</f>
        <v/>
      </c>
      <c r="G353" s="1" t="n">
        <f aca="false">Campaign_data!F353</f>
        <v>196.25</v>
      </c>
    </row>
    <row r="354" customFormat="false" ht="12.8" hidden="false" customHeight="false" outlineLevel="0" collapsed="false">
      <c r="A354" s="1" t="n">
        <f aca="false">Campaign_data!A354</f>
        <v>353</v>
      </c>
      <c r="B354" s="1" t="n">
        <f aca="false">Campaign_data!D354</f>
        <v>257.21</v>
      </c>
      <c r="C354" s="1" t="n">
        <f aca="false">Campaign_data!K354</f>
        <v>0</v>
      </c>
      <c r="D354" s="1" t="n">
        <f aca="false">B354</f>
        <v>257.21</v>
      </c>
      <c r="E354" s="1" t="n">
        <f aca="false">C354</f>
        <v>0</v>
      </c>
      <c r="F354" s="1" t="n">
        <f aca="false">IFERROR(D354*E354,"")</f>
        <v>0</v>
      </c>
      <c r="G354" s="1" t="n">
        <f aca="false">Campaign_data!F354</f>
        <v>0</v>
      </c>
    </row>
    <row r="355" customFormat="false" ht="12.8" hidden="true" customHeight="false" outlineLevel="0" collapsed="false">
      <c r="A355" s="1" t="n">
        <f aca="false">Campaign_data!A355</f>
        <v>354</v>
      </c>
      <c r="B355" s="1" t="n">
        <f aca="false">Campaign_data!D355</f>
        <v>0</v>
      </c>
      <c r="C355" s="1" t="str">
        <f aca="false">Campaign_data!K355</f>
        <v/>
      </c>
      <c r="D355" s="1" t="n">
        <f aca="false">B355</f>
        <v>0</v>
      </c>
      <c r="E355" s="1" t="str">
        <f aca="false">C355</f>
        <v/>
      </c>
      <c r="F355" s="1" t="str">
        <f aca="false">IFERROR(D355*E355,"")</f>
        <v/>
      </c>
      <c r="G355" s="1" t="n">
        <f aca="false">Campaign_data!F355</f>
        <v>0</v>
      </c>
    </row>
    <row r="356" customFormat="false" ht="12.8" hidden="false" customHeight="false" outlineLevel="0" collapsed="false">
      <c r="A356" s="1" t="n">
        <f aca="false">Campaign_data!A356</f>
        <v>355</v>
      </c>
      <c r="B356" s="1" t="n">
        <f aca="false">Campaign_data!D356</f>
        <v>2778.43</v>
      </c>
      <c r="C356" s="1" t="n">
        <f aca="false">Campaign_data!K356</f>
        <v>0.855004444956324</v>
      </c>
      <c r="D356" s="1" t="n">
        <f aca="false">B356</f>
        <v>2778.43</v>
      </c>
      <c r="E356" s="1" t="n">
        <f aca="false">C356</f>
        <v>0.855004444956324</v>
      </c>
      <c r="F356" s="1" t="n">
        <f aca="false">IFERROR(D356*E356,"")</f>
        <v>2375.57</v>
      </c>
      <c r="G356" s="1" t="n">
        <f aca="false">Campaign_data!F356</f>
        <v>2375.57</v>
      </c>
    </row>
    <row r="357" customFormat="false" ht="12.8" hidden="false" customHeight="false" outlineLevel="0" collapsed="false">
      <c r="A357" s="1" t="n">
        <f aca="false">Campaign_data!A357</f>
        <v>356</v>
      </c>
      <c r="B357" s="1" t="n">
        <f aca="false">Campaign_data!D357</f>
        <v>5105.29</v>
      </c>
      <c r="C357" s="1" t="n">
        <f aca="false">Campaign_data!K357</f>
        <v>0.625222073574665</v>
      </c>
      <c r="D357" s="1" t="n">
        <f aca="false">B357</f>
        <v>5105.29</v>
      </c>
      <c r="E357" s="1" t="n">
        <f aca="false">C357</f>
        <v>0.625222073574665</v>
      </c>
      <c r="F357" s="1" t="n">
        <f aca="false">IFERROR(D357*E357,"")</f>
        <v>3191.94</v>
      </c>
      <c r="G357" s="1" t="n">
        <f aca="false">Campaign_data!F357</f>
        <v>3191.94</v>
      </c>
    </row>
    <row r="358" customFormat="false" ht="12.8" hidden="true" customHeight="false" outlineLevel="0" collapsed="false">
      <c r="A358" s="1" t="n">
        <f aca="false">Campaign_data!A358</f>
        <v>357</v>
      </c>
      <c r="B358" s="1" t="n">
        <f aca="false">Campaign_data!D358</f>
        <v>0</v>
      </c>
      <c r="C358" s="1" t="str">
        <f aca="false">Campaign_data!K358</f>
        <v/>
      </c>
      <c r="D358" s="1" t="n">
        <f aca="false">B358</f>
        <v>0</v>
      </c>
      <c r="E358" s="1" t="str">
        <f aca="false">C358</f>
        <v/>
      </c>
      <c r="F358" s="1" t="str">
        <f aca="false">IFERROR(D358*E358,"")</f>
        <v/>
      </c>
      <c r="G358" s="1" t="n">
        <f aca="false">Campaign_data!F358</f>
        <v>104.26</v>
      </c>
    </row>
    <row r="359" customFormat="false" ht="12.8" hidden="false" customHeight="false" outlineLevel="0" collapsed="false">
      <c r="A359" s="1" t="n">
        <f aca="false">Campaign_data!A359</f>
        <v>358</v>
      </c>
      <c r="B359" s="1" t="n">
        <f aca="false">Campaign_data!D359</f>
        <v>6942.51</v>
      </c>
      <c r="C359" s="1" t="n">
        <f aca="false">Campaign_data!K359</f>
        <v>0.372293306023326</v>
      </c>
      <c r="D359" s="1" t="n">
        <f aca="false">B359</f>
        <v>6942.51</v>
      </c>
      <c r="E359" s="1" t="n">
        <f aca="false">C359</f>
        <v>0.372293306023326</v>
      </c>
      <c r="F359" s="1" t="n">
        <f aca="false">IFERROR(D359*E359,"")</f>
        <v>2584.65</v>
      </c>
      <c r="G359" s="1" t="n">
        <f aca="false">Campaign_data!F359</f>
        <v>2584.65</v>
      </c>
    </row>
    <row r="360" customFormat="false" ht="12.8" hidden="false" customHeight="false" outlineLevel="0" collapsed="false">
      <c r="A360" s="1" t="n">
        <f aca="false">Campaign_data!A360</f>
        <v>359</v>
      </c>
      <c r="B360" s="1" t="n">
        <f aca="false">Campaign_data!D360</f>
        <v>1005.35</v>
      </c>
      <c r="C360" s="1" t="n">
        <f aca="false">Campaign_data!K360</f>
        <v>0.273626100363058</v>
      </c>
      <c r="D360" s="1" t="n">
        <f aca="false">B360</f>
        <v>1005.35</v>
      </c>
      <c r="E360" s="1" t="n">
        <f aca="false">C360</f>
        <v>0.273626100363058</v>
      </c>
      <c r="F360" s="1" t="n">
        <f aca="false">IFERROR(D360*E360,"")</f>
        <v>275.09</v>
      </c>
      <c r="G360" s="1" t="n">
        <f aca="false">Campaign_data!F360</f>
        <v>275.09</v>
      </c>
    </row>
    <row r="361" customFormat="false" ht="12.8" hidden="true" customHeight="false" outlineLevel="0" collapsed="false">
      <c r="A361" s="1" t="n">
        <f aca="false">Campaign_data!A361</f>
        <v>360</v>
      </c>
      <c r="B361" s="1" t="n">
        <f aca="false">Campaign_data!D361</f>
        <v>0</v>
      </c>
      <c r="C361" s="1" t="str">
        <f aca="false">Campaign_data!K361</f>
        <v/>
      </c>
      <c r="D361" s="1" t="n">
        <f aca="false">B361</f>
        <v>0</v>
      </c>
      <c r="E361" s="1" t="str">
        <f aca="false">C361</f>
        <v/>
      </c>
      <c r="F361" s="1" t="str">
        <f aca="false">IFERROR(D361*E361,"")</f>
        <v/>
      </c>
      <c r="G361" s="1" t="n">
        <f aca="false">Campaign_data!F361</f>
        <v>0</v>
      </c>
    </row>
    <row r="362" customFormat="false" ht="12.8" hidden="true" customHeight="false" outlineLevel="0" collapsed="false">
      <c r="A362" s="1" t="n">
        <f aca="false">Campaign_data!A362</f>
        <v>361</v>
      </c>
      <c r="B362" s="1" t="n">
        <f aca="false">Campaign_data!D362</f>
        <v>0</v>
      </c>
      <c r="C362" s="1" t="str">
        <f aca="false">Campaign_data!K362</f>
        <v/>
      </c>
      <c r="D362" s="1" t="n">
        <f aca="false">B362</f>
        <v>0</v>
      </c>
      <c r="E362" s="1" t="str">
        <f aca="false">C362</f>
        <v/>
      </c>
      <c r="F362" s="1" t="str">
        <f aca="false">IFERROR(D362*E362,"")</f>
        <v/>
      </c>
      <c r="G362" s="1" t="n">
        <f aca="false">Campaign_data!F362</f>
        <v>103.82</v>
      </c>
    </row>
    <row r="363" customFormat="false" ht="12.8" hidden="true" customHeight="false" outlineLevel="0" collapsed="false">
      <c r="A363" s="1" t="n">
        <f aca="false">Campaign_data!A363</f>
        <v>362</v>
      </c>
      <c r="B363" s="1" t="n">
        <f aca="false">Campaign_data!D363</f>
        <v>0</v>
      </c>
      <c r="C363" s="1" t="str">
        <f aca="false">Campaign_data!K363</f>
        <v/>
      </c>
      <c r="D363" s="1" t="n">
        <f aca="false">B363</f>
        <v>0</v>
      </c>
      <c r="E363" s="1" t="str">
        <f aca="false">C363</f>
        <v/>
      </c>
      <c r="F363" s="1" t="str">
        <f aca="false">IFERROR(D363*E363,"")</f>
        <v/>
      </c>
      <c r="G363" s="1" t="n">
        <f aca="false">Campaign_data!F363</f>
        <v>157.32</v>
      </c>
    </row>
    <row r="364" customFormat="false" ht="12.8" hidden="false" customHeight="false" outlineLevel="0" collapsed="false">
      <c r="A364" s="1" t="n">
        <f aca="false">Campaign_data!A364</f>
        <v>363</v>
      </c>
      <c r="B364" s="1" t="n">
        <f aca="false">Campaign_data!D364</f>
        <v>1114.95</v>
      </c>
      <c r="C364" s="1" t="n">
        <f aca="false">Campaign_data!K364</f>
        <v>0.292389793264272</v>
      </c>
      <c r="D364" s="1" t="n">
        <f aca="false">B364</f>
        <v>1114.95</v>
      </c>
      <c r="E364" s="1" t="n">
        <f aca="false">C364</f>
        <v>0.292389793264272</v>
      </c>
      <c r="F364" s="1" t="n">
        <f aca="false">IFERROR(D364*E364,"")</f>
        <v>326</v>
      </c>
      <c r="G364" s="1" t="n">
        <f aca="false">Campaign_data!F364</f>
        <v>326</v>
      </c>
    </row>
    <row r="365" customFormat="false" ht="12.8" hidden="false" customHeight="false" outlineLevel="0" collapsed="false">
      <c r="A365" s="1" t="n">
        <f aca="false">Campaign_data!A365</f>
        <v>364</v>
      </c>
      <c r="B365" s="1" t="n">
        <f aca="false">Campaign_data!D365</f>
        <v>1823.21</v>
      </c>
      <c r="C365" s="1" t="n">
        <f aca="false">Campaign_data!K365</f>
        <v>0.204085102648625</v>
      </c>
      <c r="D365" s="1" t="n">
        <f aca="false">B365</f>
        <v>1823.21</v>
      </c>
      <c r="E365" s="1" t="n">
        <f aca="false">C365</f>
        <v>0.204085102648625</v>
      </c>
      <c r="F365" s="1" t="n">
        <f aca="false">IFERROR(D365*E365,"")</f>
        <v>372.09</v>
      </c>
      <c r="G365" s="1" t="n">
        <f aca="false">Campaign_data!F365</f>
        <v>372.09</v>
      </c>
    </row>
    <row r="366" customFormat="false" ht="12.8" hidden="true" customHeight="false" outlineLevel="0" collapsed="false">
      <c r="A366" s="1" t="n">
        <f aca="false">Campaign_data!A366</f>
        <v>365</v>
      </c>
      <c r="B366" s="1" t="n">
        <f aca="false">Campaign_data!D366</f>
        <v>0</v>
      </c>
      <c r="C366" s="1" t="str">
        <f aca="false">Campaign_data!K366</f>
        <v/>
      </c>
      <c r="D366" s="1" t="n">
        <f aca="false">B366</f>
        <v>0</v>
      </c>
      <c r="E366" s="1" t="str">
        <f aca="false">C366</f>
        <v/>
      </c>
      <c r="F366" s="1" t="str">
        <f aca="false">IFERROR(D366*E366,"")</f>
        <v/>
      </c>
      <c r="G366" s="1" t="n">
        <f aca="false">Campaign_data!F366</f>
        <v>711.56</v>
      </c>
    </row>
    <row r="367" customFormat="false" ht="12.8" hidden="true" customHeight="false" outlineLevel="0" collapsed="false">
      <c r="A367" s="1" t="n">
        <f aca="false">Campaign_data!A367</f>
        <v>366</v>
      </c>
      <c r="B367" s="1" t="n">
        <f aca="false">Campaign_data!D367</f>
        <v>0</v>
      </c>
      <c r="C367" s="1" t="str">
        <f aca="false">Campaign_data!K367</f>
        <v/>
      </c>
      <c r="D367" s="1" t="n">
        <f aca="false">B367</f>
        <v>0</v>
      </c>
      <c r="E367" s="1" t="str">
        <f aca="false">C367</f>
        <v/>
      </c>
      <c r="F367" s="1" t="str">
        <f aca="false">IFERROR(D367*E367,"")</f>
        <v/>
      </c>
      <c r="G367" s="1" t="n">
        <f aca="false">Campaign_data!F367</f>
        <v>3256.34</v>
      </c>
    </row>
    <row r="368" customFormat="false" ht="12.8" hidden="true" customHeight="false" outlineLevel="0" collapsed="false">
      <c r="A368" s="1" t="n">
        <f aca="false">Campaign_data!A368</f>
        <v>367</v>
      </c>
      <c r="B368" s="1" t="n">
        <f aca="false">Campaign_data!D368</f>
        <v>0</v>
      </c>
      <c r="C368" s="1" t="str">
        <f aca="false">Campaign_data!K368</f>
        <v/>
      </c>
      <c r="D368" s="1" t="n">
        <f aca="false">B368</f>
        <v>0</v>
      </c>
      <c r="E368" s="1" t="str">
        <f aca="false">C368</f>
        <v/>
      </c>
      <c r="F368" s="1" t="str">
        <f aca="false">IFERROR(D368*E368,"")</f>
        <v/>
      </c>
      <c r="G368" s="1" t="n">
        <f aca="false">Campaign_data!F368</f>
        <v>0</v>
      </c>
    </row>
    <row r="369" customFormat="false" ht="12.8" hidden="true" customHeight="false" outlineLevel="0" collapsed="false">
      <c r="A369" s="1" t="n">
        <f aca="false">Campaign_data!A369</f>
        <v>368</v>
      </c>
      <c r="B369" s="1" t="n">
        <f aca="false">Campaign_data!D369</f>
        <v>0</v>
      </c>
      <c r="C369" s="1" t="str">
        <f aca="false">Campaign_data!K369</f>
        <v/>
      </c>
      <c r="D369" s="1" t="n">
        <f aca="false">B369</f>
        <v>0</v>
      </c>
      <c r="E369" s="1" t="str">
        <f aca="false">C369</f>
        <v/>
      </c>
      <c r="F369" s="1" t="str">
        <f aca="false">IFERROR(D369*E369,"")</f>
        <v/>
      </c>
      <c r="G369" s="1" t="n">
        <f aca="false">Campaign_data!F369</f>
        <v>0</v>
      </c>
    </row>
    <row r="370" customFormat="false" ht="12.8" hidden="true" customHeight="false" outlineLevel="0" collapsed="false">
      <c r="A370" s="1" t="n">
        <f aca="false">Campaign_data!A370</f>
        <v>369</v>
      </c>
      <c r="B370" s="1" t="n">
        <f aca="false">Campaign_data!D370</f>
        <v>0</v>
      </c>
      <c r="C370" s="1" t="str">
        <f aca="false">Campaign_data!K370</f>
        <v/>
      </c>
      <c r="D370" s="1" t="n">
        <f aca="false">B370</f>
        <v>0</v>
      </c>
      <c r="E370" s="1" t="str">
        <f aca="false">C370</f>
        <v/>
      </c>
      <c r="F370" s="1" t="str">
        <f aca="false">IFERROR(D370*E370,"")</f>
        <v/>
      </c>
      <c r="G370" s="1" t="n">
        <f aca="false">Campaign_data!F370</f>
        <v>3929.29</v>
      </c>
    </row>
    <row r="371" customFormat="false" ht="12.8" hidden="false" customHeight="false" outlineLevel="0" collapsed="false">
      <c r="A371" s="1" t="n">
        <f aca="false">Campaign_data!A371</f>
        <v>370</v>
      </c>
      <c r="B371" s="1" t="n">
        <f aca="false">Campaign_data!D371</f>
        <v>657.16</v>
      </c>
      <c r="C371" s="1" t="n">
        <f aca="false">Campaign_data!K371</f>
        <v>0.212185769066894</v>
      </c>
      <c r="D371" s="1" t="n">
        <f aca="false">B371</f>
        <v>657.16</v>
      </c>
      <c r="E371" s="1" t="n">
        <f aca="false">C371</f>
        <v>0.212185769066894</v>
      </c>
      <c r="F371" s="1" t="n">
        <f aca="false">IFERROR(D371*E371,"")</f>
        <v>139.44</v>
      </c>
      <c r="G371" s="1" t="n">
        <f aca="false">Campaign_data!F371</f>
        <v>139.44</v>
      </c>
    </row>
    <row r="372" customFormat="false" ht="12.8" hidden="false" customHeight="false" outlineLevel="0" collapsed="false">
      <c r="A372" s="1" t="n">
        <f aca="false">Campaign_data!A372</f>
        <v>371</v>
      </c>
      <c r="B372" s="1" t="n">
        <f aca="false">Campaign_data!D372</f>
        <v>2328.6</v>
      </c>
      <c r="C372" s="1" t="n">
        <f aca="false">Campaign_data!K372</f>
        <v>0.153010392510521</v>
      </c>
      <c r="D372" s="1" t="n">
        <f aca="false">B372</f>
        <v>2328.6</v>
      </c>
      <c r="E372" s="1" t="n">
        <f aca="false">C372</f>
        <v>0.153010392510521</v>
      </c>
      <c r="F372" s="1" t="n">
        <f aca="false">IFERROR(D372*E372,"")</f>
        <v>356.299999999999</v>
      </c>
      <c r="G372" s="1" t="n">
        <f aca="false">Campaign_data!F372</f>
        <v>356.3</v>
      </c>
    </row>
    <row r="373" customFormat="false" ht="12.8" hidden="true" customHeight="false" outlineLevel="0" collapsed="false">
      <c r="A373" s="1" t="n">
        <f aca="false">Campaign_data!A373</f>
        <v>372</v>
      </c>
      <c r="B373" s="1" t="n">
        <f aca="false">Campaign_data!D373</f>
        <v>0</v>
      </c>
      <c r="C373" s="1" t="str">
        <f aca="false">Campaign_data!K373</f>
        <v/>
      </c>
      <c r="D373" s="1" t="n">
        <f aca="false">B373</f>
        <v>0</v>
      </c>
      <c r="E373" s="1" t="str">
        <f aca="false">C373</f>
        <v/>
      </c>
      <c r="F373" s="1" t="str">
        <f aca="false">IFERROR(D373*E373,"")</f>
        <v/>
      </c>
      <c r="G373" s="1" t="n">
        <f aca="false">Campaign_data!F373</f>
        <v>658.68</v>
      </c>
    </row>
    <row r="374" customFormat="false" ht="12.8" hidden="false" customHeight="false" outlineLevel="0" collapsed="false">
      <c r="A374" s="1" t="n">
        <f aca="false">Campaign_data!A374</f>
        <v>373</v>
      </c>
      <c r="B374" s="1" t="n">
        <f aca="false">Campaign_data!D374</f>
        <v>1009.34</v>
      </c>
      <c r="C374" s="1" t="n">
        <f aca="false">Campaign_data!K374</f>
        <v>0</v>
      </c>
      <c r="D374" s="1" t="n">
        <f aca="false">B374</f>
        <v>1009.34</v>
      </c>
      <c r="E374" s="1" t="n">
        <f aca="false">C374</f>
        <v>0</v>
      </c>
      <c r="F374" s="1" t="n">
        <f aca="false">IFERROR(D374*E374,"")</f>
        <v>0</v>
      </c>
      <c r="G374" s="1" t="n">
        <f aca="false">Campaign_data!F374</f>
        <v>0</v>
      </c>
    </row>
    <row r="375" customFormat="false" ht="12.8" hidden="true" customHeight="false" outlineLevel="0" collapsed="false">
      <c r="A375" s="1" t="n">
        <f aca="false">Campaign_data!A375</f>
        <v>374</v>
      </c>
      <c r="B375" s="1" t="n">
        <f aca="false">Campaign_data!D375</f>
        <v>0</v>
      </c>
      <c r="C375" s="1" t="str">
        <f aca="false">Campaign_data!K375</f>
        <v/>
      </c>
      <c r="D375" s="1" t="n">
        <f aca="false">B375</f>
        <v>0</v>
      </c>
      <c r="E375" s="1" t="str">
        <f aca="false">C375</f>
        <v/>
      </c>
      <c r="F375" s="1" t="str">
        <f aca="false">IFERROR(D375*E375,"")</f>
        <v/>
      </c>
      <c r="G375" s="1" t="n">
        <f aca="false">Campaign_data!F375</f>
        <v>0</v>
      </c>
    </row>
    <row r="376" customFormat="false" ht="12.8" hidden="false" customHeight="false" outlineLevel="0" collapsed="false">
      <c r="A376" s="1" t="n">
        <f aca="false">Campaign_data!A376</f>
        <v>375</v>
      </c>
      <c r="B376" s="1" t="n">
        <f aca="false">Campaign_data!D376</f>
        <v>1293.85</v>
      </c>
      <c r="C376" s="1" t="n">
        <f aca="false">Campaign_data!K376</f>
        <v>0.417552266491479</v>
      </c>
      <c r="D376" s="1" t="n">
        <f aca="false">B376</f>
        <v>1293.85</v>
      </c>
      <c r="E376" s="1" t="n">
        <f aca="false">C376</f>
        <v>0.417552266491479</v>
      </c>
      <c r="F376" s="1" t="n">
        <f aca="false">IFERROR(D376*E376,"")</f>
        <v>540.25</v>
      </c>
      <c r="G376" s="1" t="n">
        <f aca="false">Campaign_data!F376</f>
        <v>540.25</v>
      </c>
    </row>
    <row r="377" customFormat="false" ht="12.8" hidden="true" customHeight="false" outlineLevel="0" collapsed="false">
      <c r="A377" s="1" t="n">
        <f aca="false">Campaign_data!A377</f>
        <v>376</v>
      </c>
      <c r="B377" s="1" t="n">
        <f aca="false">Campaign_data!D377</f>
        <v>0</v>
      </c>
      <c r="C377" s="1" t="str">
        <f aca="false">Campaign_data!K377</f>
        <v/>
      </c>
      <c r="D377" s="1" t="n">
        <f aca="false">B377</f>
        <v>0</v>
      </c>
      <c r="E377" s="1" t="str">
        <f aca="false">C377</f>
        <v/>
      </c>
      <c r="F377" s="1" t="str">
        <f aca="false">IFERROR(D377*E377,"")</f>
        <v/>
      </c>
      <c r="G377" s="1" t="n">
        <f aca="false">Campaign_data!F377</f>
        <v>539.57</v>
      </c>
    </row>
    <row r="378" customFormat="false" ht="12.8" hidden="true" customHeight="false" outlineLevel="0" collapsed="false">
      <c r="A378" s="1" t="n">
        <f aca="false">Campaign_data!A378</f>
        <v>377</v>
      </c>
      <c r="B378" s="1" t="n">
        <f aca="false">Campaign_data!D378</f>
        <v>0</v>
      </c>
      <c r="C378" s="1" t="str">
        <f aca="false">Campaign_data!K378</f>
        <v/>
      </c>
      <c r="D378" s="1" t="n">
        <f aca="false">B378</f>
        <v>0</v>
      </c>
      <c r="E378" s="1" t="str">
        <f aca="false">C378</f>
        <v/>
      </c>
      <c r="F378" s="1" t="str">
        <f aca="false">IFERROR(D378*E378,"")</f>
        <v/>
      </c>
      <c r="G378" s="1" t="n">
        <f aca="false">Campaign_data!F378</f>
        <v>555.35</v>
      </c>
    </row>
    <row r="379" customFormat="false" ht="12.8" hidden="true" customHeight="false" outlineLevel="0" collapsed="false">
      <c r="A379" s="1" t="n">
        <f aca="false">Campaign_data!A379</f>
        <v>378</v>
      </c>
      <c r="B379" s="1" t="n">
        <f aca="false">Campaign_data!D379</f>
        <v>0</v>
      </c>
      <c r="C379" s="1" t="str">
        <f aca="false">Campaign_data!K379</f>
        <v/>
      </c>
      <c r="D379" s="1" t="n">
        <f aca="false">B379</f>
        <v>0</v>
      </c>
      <c r="E379" s="1" t="str">
        <f aca="false">C379</f>
        <v/>
      </c>
      <c r="F379" s="1" t="str">
        <f aca="false">IFERROR(D379*E379,"")</f>
        <v/>
      </c>
      <c r="G379" s="1" t="n">
        <f aca="false">Campaign_data!F379</f>
        <v>345.32</v>
      </c>
    </row>
    <row r="380" customFormat="false" ht="12.8" hidden="false" customHeight="false" outlineLevel="0" collapsed="false">
      <c r="A380" s="1" t="n">
        <f aca="false">Campaign_data!A380</f>
        <v>379</v>
      </c>
      <c r="B380" s="1" t="n">
        <f aca="false">Campaign_data!D380</f>
        <v>4678.8</v>
      </c>
      <c r="C380" s="1" t="n">
        <f aca="false">Campaign_data!K380</f>
        <v>0.679977772078311</v>
      </c>
      <c r="D380" s="1" t="n">
        <f aca="false">B380</f>
        <v>4678.8</v>
      </c>
      <c r="E380" s="1" t="n">
        <f aca="false">C380</f>
        <v>0.679977772078311</v>
      </c>
      <c r="F380" s="1" t="n">
        <f aca="false">IFERROR(D380*E380,"")</f>
        <v>3181.48</v>
      </c>
      <c r="G380" s="1" t="n">
        <f aca="false">Campaign_data!F380</f>
        <v>3181.48</v>
      </c>
    </row>
    <row r="381" customFormat="false" ht="12.8" hidden="false" customHeight="false" outlineLevel="0" collapsed="false">
      <c r="A381" s="1" t="n">
        <f aca="false">Campaign_data!A381</f>
        <v>380</v>
      </c>
      <c r="B381" s="1" t="n">
        <f aca="false">Campaign_data!D381</f>
        <v>210.59</v>
      </c>
      <c r="C381" s="1" t="n">
        <f aca="false">Campaign_data!K381</f>
        <v>0</v>
      </c>
      <c r="D381" s="1" t="n">
        <f aca="false">B381</f>
        <v>210.59</v>
      </c>
      <c r="E381" s="1" t="n">
        <f aca="false">C381</f>
        <v>0</v>
      </c>
      <c r="F381" s="1" t="n">
        <f aca="false">IFERROR(D381*E381,"")</f>
        <v>0</v>
      </c>
      <c r="G381" s="1" t="n">
        <f aca="false">Campaign_data!F381</f>
        <v>0</v>
      </c>
    </row>
    <row r="382" customFormat="false" ht="12.8" hidden="true" customHeight="false" outlineLevel="0" collapsed="false">
      <c r="A382" s="1" t="n">
        <f aca="false">Campaign_data!A382</f>
        <v>381</v>
      </c>
      <c r="B382" s="1" t="n">
        <f aca="false">Campaign_data!D382</f>
        <v>0</v>
      </c>
      <c r="C382" s="1" t="str">
        <f aca="false">Campaign_data!K382</f>
        <v/>
      </c>
      <c r="D382" s="1" t="n">
        <f aca="false">B382</f>
        <v>0</v>
      </c>
      <c r="E382" s="1" t="str">
        <f aca="false">C382</f>
        <v/>
      </c>
      <c r="F382" s="1" t="str">
        <f aca="false">IFERROR(D382*E382,"")</f>
        <v/>
      </c>
      <c r="G382" s="1" t="n">
        <f aca="false">Campaign_data!F382</f>
        <v>2121.63</v>
      </c>
    </row>
    <row r="383" customFormat="false" ht="12.8" hidden="true" customHeight="false" outlineLevel="0" collapsed="false">
      <c r="A383" s="1" t="n">
        <f aca="false">Campaign_data!A383</f>
        <v>382</v>
      </c>
      <c r="B383" s="1" t="n">
        <f aca="false">Campaign_data!D383</f>
        <v>0</v>
      </c>
      <c r="C383" s="1" t="str">
        <f aca="false">Campaign_data!K383</f>
        <v/>
      </c>
      <c r="D383" s="1" t="n">
        <f aca="false">B383</f>
        <v>0</v>
      </c>
      <c r="E383" s="1" t="str">
        <f aca="false">C383</f>
        <v/>
      </c>
      <c r="F383" s="1" t="str">
        <f aca="false">IFERROR(D383*E383,"")</f>
        <v/>
      </c>
      <c r="G383" s="1" t="n">
        <f aca="false">Campaign_data!F383</f>
        <v>3034.79</v>
      </c>
    </row>
    <row r="384" customFormat="false" ht="12.8" hidden="false" customHeight="false" outlineLevel="0" collapsed="false">
      <c r="A384" s="1" t="n">
        <f aca="false">Campaign_data!A384</f>
        <v>383</v>
      </c>
      <c r="B384" s="1" t="n">
        <f aca="false">Campaign_data!D384</f>
        <v>5099.34</v>
      </c>
      <c r="C384" s="1" t="n">
        <f aca="false">Campaign_data!K384</f>
        <v>0.774319813936706</v>
      </c>
      <c r="D384" s="1" t="n">
        <f aca="false">B384</f>
        <v>5099.34</v>
      </c>
      <c r="E384" s="1" t="n">
        <f aca="false">C384</f>
        <v>0.774319813936706</v>
      </c>
      <c r="F384" s="1" t="n">
        <f aca="false">IFERROR(D384*E384,"")</f>
        <v>3948.52</v>
      </c>
      <c r="G384" s="1" t="n">
        <f aca="false">Campaign_data!F384</f>
        <v>3948.52</v>
      </c>
    </row>
    <row r="385" customFormat="false" ht="12.8" hidden="true" customHeight="false" outlineLevel="0" collapsed="false">
      <c r="A385" s="1" t="n">
        <f aca="false">Campaign_data!A385</f>
        <v>384</v>
      </c>
      <c r="B385" s="1" t="n">
        <f aca="false">Campaign_data!D385</f>
        <v>0</v>
      </c>
      <c r="C385" s="1" t="str">
        <f aca="false">Campaign_data!K385</f>
        <v/>
      </c>
      <c r="D385" s="1" t="n">
        <f aca="false">B385</f>
        <v>0</v>
      </c>
      <c r="E385" s="1" t="str">
        <f aca="false">C385</f>
        <v/>
      </c>
      <c r="F385" s="1" t="str">
        <f aca="false">IFERROR(D385*E385,"")</f>
        <v/>
      </c>
      <c r="G385" s="1" t="n">
        <f aca="false">Campaign_data!F385</f>
        <v>376.76</v>
      </c>
    </row>
    <row r="386" customFormat="false" ht="12.8" hidden="false" customHeight="false" outlineLevel="0" collapsed="false">
      <c r="A386" s="1" t="n">
        <f aca="false">Campaign_data!A386</f>
        <v>385</v>
      </c>
      <c r="B386" s="1" t="n">
        <f aca="false">Campaign_data!D386</f>
        <v>675.86</v>
      </c>
      <c r="C386" s="1" t="n">
        <f aca="false">Campaign_data!K386</f>
        <v>0</v>
      </c>
      <c r="D386" s="1" t="n">
        <f aca="false">B386</f>
        <v>675.86</v>
      </c>
      <c r="E386" s="1" t="n">
        <f aca="false">C386</f>
        <v>0</v>
      </c>
      <c r="F386" s="1" t="n">
        <f aca="false">IFERROR(D386*E386,"")</f>
        <v>0</v>
      </c>
      <c r="G386" s="1" t="n">
        <f aca="false">Campaign_data!F386</f>
        <v>0</v>
      </c>
    </row>
    <row r="387" customFormat="false" ht="12.8" hidden="false" customHeight="false" outlineLevel="0" collapsed="false">
      <c r="A387" s="1" t="n">
        <f aca="false">Campaign_data!A387</f>
        <v>386</v>
      </c>
      <c r="B387" s="1" t="n">
        <f aca="false">Campaign_data!D387</f>
        <v>2588.12</v>
      </c>
      <c r="C387" s="1" t="n">
        <f aca="false">Campaign_data!K387</f>
        <v>0.280272939430938</v>
      </c>
      <c r="D387" s="1" t="n">
        <f aca="false">B387</f>
        <v>2588.12</v>
      </c>
      <c r="E387" s="1" t="n">
        <f aca="false">C387</f>
        <v>0.280272939430938</v>
      </c>
      <c r="F387" s="1" t="n">
        <f aca="false">IFERROR(D387*E387,"")</f>
        <v>725.379999999999</v>
      </c>
      <c r="G387" s="1" t="n">
        <f aca="false">Campaign_data!F387</f>
        <v>725.38</v>
      </c>
    </row>
    <row r="388" customFormat="false" ht="12.8" hidden="true" customHeight="false" outlineLevel="0" collapsed="false">
      <c r="A388" s="1" t="n">
        <f aca="false">Campaign_data!A388</f>
        <v>387</v>
      </c>
      <c r="B388" s="1" t="n">
        <f aca="false">Campaign_data!D388</f>
        <v>0</v>
      </c>
      <c r="C388" s="1" t="str">
        <f aca="false">Campaign_data!K388</f>
        <v/>
      </c>
      <c r="D388" s="1" t="n">
        <f aca="false">B388</f>
        <v>0</v>
      </c>
      <c r="E388" s="1" t="str">
        <f aca="false">C388</f>
        <v/>
      </c>
      <c r="F388" s="1" t="str">
        <f aca="false">IFERROR(D388*E388,"")</f>
        <v/>
      </c>
      <c r="G388" s="1" t="n">
        <f aca="false">Campaign_data!F388</f>
        <v>2080.04</v>
      </c>
    </row>
    <row r="389" customFormat="false" ht="12.8" hidden="true" customHeight="false" outlineLevel="0" collapsed="false">
      <c r="A389" s="1" t="n">
        <f aca="false">Campaign_data!A389</f>
        <v>388</v>
      </c>
      <c r="B389" s="1" t="n">
        <f aca="false">Campaign_data!D389</f>
        <v>0</v>
      </c>
      <c r="C389" s="1" t="str">
        <f aca="false">Campaign_data!K389</f>
        <v/>
      </c>
      <c r="D389" s="1" t="n">
        <f aca="false">B389</f>
        <v>0</v>
      </c>
      <c r="E389" s="1" t="str">
        <f aca="false">C389</f>
        <v/>
      </c>
      <c r="F389" s="1" t="str">
        <f aca="false">IFERROR(D389*E389,"")</f>
        <v/>
      </c>
      <c r="G389" s="1" t="n">
        <f aca="false">Campaign_data!F389</f>
        <v>0</v>
      </c>
    </row>
    <row r="390" customFormat="false" ht="12.8" hidden="false" customHeight="false" outlineLevel="0" collapsed="false">
      <c r="A390" s="1" t="n">
        <f aca="false">Campaign_data!A390</f>
        <v>389</v>
      </c>
      <c r="B390" s="1" t="n">
        <f aca="false">Campaign_data!D390</f>
        <v>4711.85</v>
      </c>
      <c r="C390" s="1" t="n">
        <f aca="false">Campaign_data!K390</f>
        <v>0.646155968462494</v>
      </c>
      <c r="D390" s="1" t="n">
        <f aca="false">B390</f>
        <v>4711.85</v>
      </c>
      <c r="E390" s="1" t="n">
        <f aca="false">C390</f>
        <v>0.646155968462494</v>
      </c>
      <c r="F390" s="1" t="n">
        <f aca="false">IFERROR(D390*E390,"")</f>
        <v>3044.59</v>
      </c>
      <c r="G390" s="1" t="n">
        <f aca="false">Campaign_data!F390</f>
        <v>3044.59</v>
      </c>
    </row>
    <row r="391" customFormat="false" ht="12.8" hidden="false" customHeight="false" outlineLevel="0" collapsed="false">
      <c r="A391" s="1" t="n">
        <f aca="false">Campaign_data!A391</f>
        <v>390</v>
      </c>
      <c r="B391" s="1" t="n">
        <f aca="false">Campaign_data!D391</f>
        <v>2768.64</v>
      </c>
      <c r="C391" s="1" t="n">
        <f aca="false">Campaign_data!K391</f>
        <v>0.309661061026352</v>
      </c>
      <c r="D391" s="1" t="n">
        <f aca="false">B391</f>
        <v>2768.64</v>
      </c>
      <c r="E391" s="1" t="n">
        <f aca="false">C391</f>
        <v>0.309661061026352</v>
      </c>
      <c r="F391" s="1" t="n">
        <f aca="false">IFERROR(D391*E391,"")</f>
        <v>857.339999999999</v>
      </c>
      <c r="G391" s="1" t="n">
        <f aca="false">Campaign_data!F391</f>
        <v>857.34</v>
      </c>
    </row>
    <row r="392" customFormat="false" ht="12.8" hidden="true" customHeight="false" outlineLevel="0" collapsed="false">
      <c r="A392" s="1" t="n">
        <f aca="false">Campaign_data!A392</f>
        <v>391</v>
      </c>
      <c r="B392" s="1" t="n">
        <f aca="false">Campaign_data!D392</f>
        <v>0</v>
      </c>
      <c r="C392" s="1" t="str">
        <f aca="false">Campaign_data!K392</f>
        <v/>
      </c>
      <c r="D392" s="1" t="n">
        <f aca="false">B392</f>
        <v>0</v>
      </c>
      <c r="E392" s="1" t="str">
        <f aca="false">C392</f>
        <v/>
      </c>
      <c r="F392" s="1" t="str">
        <f aca="false">IFERROR(D392*E392,"")</f>
        <v/>
      </c>
      <c r="G392" s="1" t="n">
        <f aca="false">Campaign_data!F392</f>
        <v>0</v>
      </c>
    </row>
    <row r="393" customFormat="false" ht="12.8" hidden="false" customHeight="false" outlineLevel="0" collapsed="false">
      <c r="A393" s="1" t="n">
        <f aca="false">Campaign_data!A393</f>
        <v>392</v>
      </c>
      <c r="B393" s="1" t="n">
        <f aca="false">Campaign_data!D393</f>
        <v>2387.8</v>
      </c>
      <c r="C393" s="1" t="n">
        <f aca="false">Campaign_data!K393</f>
        <v>0.350607253538822</v>
      </c>
      <c r="D393" s="1" t="n">
        <f aca="false">B393</f>
        <v>2387.8</v>
      </c>
      <c r="E393" s="1" t="n">
        <f aca="false">C393</f>
        <v>0.350607253538822</v>
      </c>
      <c r="F393" s="1" t="n">
        <f aca="false">IFERROR(D393*E393,"")</f>
        <v>837.179999999999</v>
      </c>
      <c r="G393" s="1" t="n">
        <f aca="false">Campaign_data!F393</f>
        <v>837.18</v>
      </c>
    </row>
    <row r="394" customFormat="false" ht="12.8" hidden="false" customHeight="false" outlineLevel="0" collapsed="false">
      <c r="A394" s="1" t="n">
        <f aca="false">Campaign_data!A394</f>
        <v>393</v>
      </c>
      <c r="B394" s="1" t="n">
        <f aca="false">Campaign_data!D394</f>
        <v>10640.57</v>
      </c>
      <c r="C394" s="1" t="n">
        <f aca="false">Campaign_data!K394</f>
        <v>0.812261937095475</v>
      </c>
      <c r="D394" s="1" t="n">
        <f aca="false">B394</f>
        <v>10640.57</v>
      </c>
      <c r="E394" s="1" t="n">
        <f aca="false">C394</f>
        <v>0.812261937095475</v>
      </c>
      <c r="F394" s="1" t="n">
        <f aca="false">IFERROR(D394*E394,"")</f>
        <v>8642.93</v>
      </c>
      <c r="G394" s="1" t="n">
        <f aca="false">Campaign_data!F394</f>
        <v>8642.93</v>
      </c>
    </row>
    <row r="395" customFormat="false" ht="12.8" hidden="true" customHeight="false" outlineLevel="0" collapsed="false">
      <c r="A395" s="1" t="n">
        <f aca="false">Campaign_data!A395</f>
        <v>394</v>
      </c>
      <c r="B395" s="1" t="n">
        <f aca="false">Campaign_data!D395</f>
        <v>0</v>
      </c>
      <c r="C395" s="1" t="str">
        <f aca="false">Campaign_data!K395</f>
        <v/>
      </c>
      <c r="D395" s="1" t="n">
        <f aca="false">B395</f>
        <v>0</v>
      </c>
      <c r="E395" s="1" t="str">
        <f aca="false">C395</f>
        <v/>
      </c>
      <c r="F395" s="1" t="str">
        <f aca="false">IFERROR(D395*E395,"")</f>
        <v/>
      </c>
      <c r="G395" s="1" t="n">
        <f aca="false">Campaign_data!F395</f>
        <v>2794.09</v>
      </c>
    </row>
    <row r="396" customFormat="false" ht="12.8" hidden="true" customHeight="false" outlineLevel="0" collapsed="false">
      <c r="A396" s="1" t="n">
        <f aca="false">Campaign_data!A396</f>
        <v>395</v>
      </c>
      <c r="B396" s="1" t="n">
        <f aca="false">Campaign_data!D396</f>
        <v>0</v>
      </c>
      <c r="C396" s="1" t="str">
        <f aca="false">Campaign_data!K396</f>
        <v/>
      </c>
      <c r="D396" s="1" t="n">
        <f aca="false">B396</f>
        <v>0</v>
      </c>
      <c r="E396" s="1" t="str">
        <f aca="false">C396</f>
        <v/>
      </c>
      <c r="F396" s="1" t="str">
        <f aca="false">IFERROR(D396*E396,"")</f>
        <v/>
      </c>
      <c r="G396" s="1" t="n">
        <f aca="false">Campaign_data!F396</f>
        <v>0</v>
      </c>
    </row>
    <row r="397" customFormat="false" ht="12.8" hidden="true" customHeight="false" outlineLevel="0" collapsed="false">
      <c r="A397" s="1" t="n">
        <f aca="false">Campaign_data!A397</f>
        <v>396</v>
      </c>
      <c r="B397" s="1" t="n">
        <f aca="false">Campaign_data!D397</f>
        <v>0</v>
      </c>
      <c r="C397" s="1" t="str">
        <f aca="false">Campaign_data!K397</f>
        <v/>
      </c>
      <c r="D397" s="1" t="n">
        <f aca="false">B397</f>
        <v>0</v>
      </c>
      <c r="E397" s="1" t="str">
        <f aca="false">C397</f>
        <v/>
      </c>
      <c r="F397" s="1" t="str">
        <f aca="false">IFERROR(D397*E397,"")</f>
        <v/>
      </c>
      <c r="G397" s="1" t="n">
        <f aca="false">Campaign_data!F397</f>
        <v>83.81</v>
      </c>
    </row>
    <row r="398" customFormat="false" ht="12.8" hidden="false" customHeight="false" outlineLevel="0" collapsed="false">
      <c r="A398" s="1" t="n">
        <f aca="false">Campaign_data!A398</f>
        <v>397</v>
      </c>
      <c r="B398" s="1" t="n">
        <f aca="false">Campaign_data!D398</f>
        <v>2246.19</v>
      </c>
      <c r="C398" s="1" t="n">
        <f aca="false">Campaign_data!K398</f>
        <v>0</v>
      </c>
      <c r="D398" s="1" t="n">
        <f aca="false">B398</f>
        <v>2246.19</v>
      </c>
      <c r="E398" s="1" t="n">
        <f aca="false">C398</f>
        <v>0</v>
      </c>
      <c r="F398" s="1" t="n">
        <f aca="false">IFERROR(D398*E398,"")</f>
        <v>0</v>
      </c>
      <c r="G398" s="1" t="n">
        <f aca="false">Campaign_data!F398</f>
        <v>0</v>
      </c>
    </row>
    <row r="399" customFormat="false" ht="12.8" hidden="false" customHeight="false" outlineLevel="0" collapsed="false">
      <c r="A399" s="1" t="n">
        <f aca="false">Campaign_data!A399</f>
        <v>398</v>
      </c>
      <c r="B399" s="1" t="n">
        <f aca="false">Campaign_data!D399</f>
        <v>716.68</v>
      </c>
      <c r="C399" s="1" t="n">
        <f aca="false">Campaign_data!K399</f>
        <v>0.340807612881621</v>
      </c>
      <c r="D399" s="1" t="n">
        <f aca="false">B399</f>
        <v>716.68</v>
      </c>
      <c r="E399" s="1" t="n">
        <f aca="false">C399</f>
        <v>0.340807612881621</v>
      </c>
      <c r="F399" s="1" t="n">
        <f aca="false">IFERROR(D399*E399,"")</f>
        <v>244.25</v>
      </c>
      <c r="G399" s="1" t="n">
        <f aca="false">Campaign_data!F399</f>
        <v>244.25</v>
      </c>
    </row>
    <row r="400" customFormat="false" ht="12.8" hidden="true" customHeight="false" outlineLevel="0" collapsed="false">
      <c r="A400" s="1" t="n">
        <f aca="false">Campaign_data!A400</f>
        <v>399</v>
      </c>
      <c r="B400" s="1" t="n">
        <f aca="false">Campaign_data!D400</f>
        <v>0</v>
      </c>
      <c r="C400" s="1" t="str">
        <f aca="false">Campaign_data!K400</f>
        <v/>
      </c>
      <c r="D400" s="1" t="n">
        <f aca="false">B400</f>
        <v>0</v>
      </c>
      <c r="E400" s="1" t="str">
        <f aca="false">C400</f>
        <v/>
      </c>
      <c r="F400" s="1" t="str">
        <f aca="false">IFERROR(D400*E400,"")</f>
        <v/>
      </c>
      <c r="G400" s="1" t="n">
        <f aca="false">Campaign_data!F400</f>
        <v>0</v>
      </c>
    </row>
    <row r="401" customFormat="false" ht="12.8" hidden="false" customHeight="false" outlineLevel="0" collapsed="false">
      <c r="A401" s="1" t="n">
        <f aca="false">Campaign_data!A401</f>
        <v>400</v>
      </c>
      <c r="B401" s="1" t="n">
        <f aca="false">Campaign_data!D401</f>
        <v>170.39</v>
      </c>
      <c r="C401" s="1" t="n">
        <f aca="false">Campaign_data!K401</f>
        <v>1.32314102940313</v>
      </c>
      <c r="D401" s="1" t="n">
        <f aca="false">B401</f>
        <v>170.39</v>
      </c>
      <c r="E401" s="1" t="n">
        <f aca="false">C401</f>
        <v>1.32314102940313</v>
      </c>
      <c r="F401" s="1" t="n">
        <f aca="false">IFERROR(D401*E401,"")</f>
        <v>225.449999999999</v>
      </c>
      <c r="G401" s="1" t="n">
        <f aca="false">Campaign_data!F401</f>
        <v>225.45</v>
      </c>
    </row>
    <row r="402" customFormat="false" ht="12.8" hidden="true" customHeight="false" outlineLevel="0" collapsed="false">
      <c r="A402" s="1" t="n">
        <f aca="false">Campaign_data!A402</f>
        <v>401</v>
      </c>
      <c r="B402" s="1" t="n">
        <f aca="false">Campaign_data!D402</f>
        <v>0</v>
      </c>
      <c r="C402" s="1" t="str">
        <f aca="false">Campaign_data!K402</f>
        <v/>
      </c>
      <c r="D402" s="1" t="n">
        <f aca="false">B402</f>
        <v>0</v>
      </c>
      <c r="E402" s="1" t="str">
        <f aca="false">C402</f>
        <v/>
      </c>
      <c r="F402" s="1" t="str">
        <f aca="false">IFERROR(D402*E402,"")</f>
        <v/>
      </c>
      <c r="G402" s="1" t="n">
        <f aca="false">Campaign_data!F402</f>
        <v>1023.05</v>
      </c>
    </row>
    <row r="403" customFormat="false" ht="12.8" hidden="true" customHeight="false" outlineLevel="0" collapsed="false">
      <c r="A403" s="1" t="n">
        <f aca="false">Campaign_data!A403</f>
        <v>402</v>
      </c>
      <c r="B403" s="1" t="n">
        <f aca="false">Campaign_data!D403</f>
        <v>0</v>
      </c>
      <c r="C403" s="1" t="str">
        <f aca="false">Campaign_data!K403</f>
        <v/>
      </c>
      <c r="D403" s="1" t="n">
        <f aca="false">B403</f>
        <v>0</v>
      </c>
      <c r="E403" s="1" t="str">
        <f aca="false">C403</f>
        <v/>
      </c>
      <c r="F403" s="1" t="str">
        <f aca="false">IFERROR(D403*E403,"")</f>
        <v/>
      </c>
      <c r="G403" s="1" t="n">
        <f aca="false">Campaign_data!F403</f>
        <v>36.5</v>
      </c>
    </row>
    <row r="404" customFormat="false" ht="12.8" hidden="true" customHeight="false" outlineLevel="0" collapsed="false">
      <c r="A404" s="1" t="n">
        <f aca="false">Campaign_data!A404</f>
        <v>403</v>
      </c>
      <c r="B404" s="1" t="n">
        <f aca="false">Campaign_data!D404</f>
        <v>0</v>
      </c>
      <c r="C404" s="1" t="str">
        <f aca="false">Campaign_data!K404</f>
        <v/>
      </c>
      <c r="D404" s="1" t="n">
        <f aca="false">B404</f>
        <v>0</v>
      </c>
      <c r="E404" s="1" t="str">
        <f aca="false">C404</f>
        <v/>
      </c>
      <c r="F404" s="1" t="str">
        <f aca="false">IFERROR(D404*E404,"")</f>
        <v/>
      </c>
      <c r="G404" s="1" t="n">
        <f aca="false">Campaign_data!F404</f>
        <v>0</v>
      </c>
    </row>
    <row r="405" customFormat="false" ht="12.8" hidden="false" customHeight="false" outlineLevel="0" collapsed="false">
      <c r="A405" s="1" t="n">
        <f aca="false">Campaign_data!A405</f>
        <v>404</v>
      </c>
      <c r="B405" s="1" t="n">
        <f aca="false">Campaign_data!D405</f>
        <v>2593.23</v>
      </c>
      <c r="C405" s="1" t="n">
        <f aca="false">Campaign_data!K405</f>
        <v>0.67213860706532</v>
      </c>
      <c r="D405" s="1" t="n">
        <f aca="false">B405</f>
        <v>2593.23</v>
      </c>
      <c r="E405" s="1" t="n">
        <f aca="false">C405</f>
        <v>0.67213860706532</v>
      </c>
      <c r="F405" s="1" t="n">
        <f aca="false">IFERROR(D405*E405,"")</f>
        <v>1743.01</v>
      </c>
      <c r="G405" s="1" t="n">
        <f aca="false">Campaign_data!F405</f>
        <v>1743.01</v>
      </c>
    </row>
    <row r="406" customFormat="false" ht="12.8" hidden="false" customHeight="false" outlineLevel="0" collapsed="false">
      <c r="A406" s="1" t="n">
        <f aca="false">Campaign_data!A406</f>
        <v>405</v>
      </c>
      <c r="B406" s="1" t="n">
        <f aca="false">Campaign_data!D406</f>
        <v>788.74</v>
      </c>
      <c r="C406" s="1" t="n">
        <f aca="false">Campaign_data!K406</f>
        <v>0.0587519334634987</v>
      </c>
      <c r="D406" s="1" t="n">
        <f aca="false">B406</f>
        <v>788.74</v>
      </c>
      <c r="E406" s="1" t="n">
        <f aca="false">C406</f>
        <v>0.0587519334634987</v>
      </c>
      <c r="F406" s="1" t="n">
        <f aca="false">IFERROR(D406*E406,"")</f>
        <v>46.34</v>
      </c>
      <c r="G406" s="1" t="n">
        <f aca="false">Campaign_data!F406</f>
        <v>46.34</v>
      </c>
    </row>
    <row r="407" customFormat="false" ht="12.8" hidden="false" customHeight="false" outlineLevel="0" collapsed="false">
      <c r="A407" s="1" t="n">
        <f aca="false">Campaign_data!A407</f>
        <v>406</v>
      </c>
      <c r="B407" s="1" t="n">
        <f aca="false">Campaign_data!D407</f>
        <v>1348.19</v>
      </c>
      <c r="C407" s="1" t="n">
        <f aca="false">Campaign_data!K407</f>
        <v>0.474851467523124</v>
      </c>
      <c r="D407" s="1" t="n">
        <f aca="false">B407</f>
        <v>1348.19</v>
      </c>
      <c r="E407" s="1" t="n">
        <f aca="false">C407</f>
        <v>0.474851467523124</v>
      </c>
      <c r="F407" s="1" t="n">
        <f aca="false">IFERROR(D407*E407,"")</f>
        <v>640.190000000001</v>
      </c>
      <c r="G407" s="1" t="n">
        <f aca="false">Campaign_data!F407</f>
        <v>640.19</v>
      </c>
    </row>
    <row r="408" customFormat="false" ht="12.8" hidden="false" customHeight="false" outlineLevel="0" collapsed="false">
      <c r="A408" s="1" t="n">
        <f aca="false">Campaign_data!A408</f>
        <v>407</v>
      </c>
      <c r="B408" s="1" t="n">
        <f aca="false">Campaign_data!D408</f>
        <v>46.15</v>
      </c>
      <c r="C408" s="1" t="n">
        <f aca="false">Campaign_data!K408</f>
        <v>0</v>
      </c>
      <c r="D408" s="1" t="n">
        <f aca="false">B408</f>
        <v>46.15</v>
      </c>
      <c r="E408" s="1" t="n">
        <f aca="false">C408</f>
        <v>0</v>
      </c>
      <c r="F408" s="1" t="n">
        <f aca="false">IFERROR(D408*E408,"")</f>
        <v>0</v>
      </c>
      <c r="G408" s="1" t="n">
        <f aca="false">Campaign_data!F408</f>
        <v>0</v>
      </c>
    </row>
    <row r="409" customFormat="false" ht="12.8" hidden="false" customHeight="false" outlineLevel="0" collapsed="false">
      <c r="A409" s="1" t="n">
        <f aca="false">Campaign_data!A409</f>
        <v>408</v>
      </c>
      <c r="B409" s="1" t="n">
        <f aca="false">Campaign_data!D409</f>
        <v>2183.69</v>
      </c>
      <c r="C409" s="1" t="n">
        <f aca="false">Campaign_data!K409</f>
        <v>0.497277543973733</v>
      </c>
      <c r="D409" s="1" t="n">
        <f aca="false">B409</f>
        <v>2183.69</v>
      </c>
      <c r="E409" s="1" t="n">
        <f aca="false">C409</f>
        <v>0.497277543973733</v>
      </c>
      <c r="F409" s="1" t="n">
        <f aca="false">IFERROR(D409*E409,"")</f>
        <v>1085.9</v>
      </c>
      <c r="G409" s="1" t="n">
        <f aca="false">Campaign_data!F409</f>
        <v>1085.9</v>
      </c>
    </row>
    <row r="410" customFormat="false" ht="12.8" hidden="true" customHeight="false" outlineLevel="0" collapsed="false">
      <c r="A410" s="1" t="n">
        <f aca="false">Campaign_data!A410</f>
        <v>409</v>
      </c>
      <c r="B410" s="1" t="n">
        <f aca="false">Campaign_data!D410</f>
        <v>0</v>
      </c>
      <c r="C410" s="1" t="str">
        <f aca="false">Campaign_data!K410</f>
        <v/>
      </c>
      <c r="D410" s="1" t="n">
        <f aca="false">B410</f>
        <v>0</v>
      </c>
      <c r="E410" s="1" t="str">
        <f aca="false">C410</f>
        <v/>
      </c>
      <c r="F410" s="1" t="str">
        <f aca="false">IFERROR(D410*E410,"")</f>
        <v/>
      </c>
      <c r="G410" s="1" t="n">
        <f aca="false">Campaign_data!F410</f>
        <v>3902.35</v>
      </c>
    </row>
    <row r="411" customFormat="false" ht="12.8" hidden="false" customHeight="false" outlineLevel="0" collapsed="false">
      <c r="A411" s="1" t="n">
        <f aca="false">Campaign_data!A411</f>
        <v>410</v>
      </c>
      <c r="B411" s="1" t="n">
        <f aca="false">Campaign_data!D411</f>
        <v>1497.11</v>
      </c>
      <c r="C411" s="1" t="n">
        <f aca="false">Campaign_data!K411</f>
        <v>0.473826238552945</v>
      </c>
      <c r="D411" s="1" t="n">
        <f aca="false">B411</f>
        <v>1497.11</v>
      </c>
      <c r="E411" s="1" t="n">
        <f aca="false">C411</f>
        <v>0.473826238552945</v>
      </c>
      <c r="F411" s="1" t="n">
        <f aca="false">IFERROR(D411*E411,"")</f>
        <v>709.369999999999</v>
      </c>
      <c r="G411" s="1" t="n">
        <f aca="false">Campaign_data!F411</f>
        <v>709.37</v>
      </c>
    </row>
    <row r="412" customFormat="false" ht="12.8" hidden="true" customHeight="false" outlineLevel="0" collapsed="false">
      <c r="A412" s="1" t="n">
        <f aca="false">Campaign_data!A412</f>
        <v>411</v>
      </c>
      <c r="B412" s="1" t="n">
        <f aca="false">Campaign_data!D412</f>
        <v>0</v>
      </c>
      <c r="C412" s="1" t="str">
        <f aca="false">Campaign_data!K412</f>
        <v/>
      </c>
      <c r="D412" s="1" t="n">
        <f aca="false">B412</f>
        <v>0</v>
      </c>
      <c r="E412" s="1" t="str">
        <f aca="false">C412</f>
        <v/>
      </c>
      <c r="F412" s="1" t="str">
        <f aca="false">IFERROR(D412*E412,"")</f>
        <v/>
      </c>
      <c r="G412" s="1" t="n">
        <f aca="false">Campaign_data!F412</f>
        <v>0</v>
      </c>
    </row>
    <row r="413" customFormat="false" ht="12.8" hidden="false" customHeight="false" outlineLevel="0" collapsed="false">
      <c r="A413" s="1" t="n">
        <f aca="false">Campaign_data!A413</f>
        <v>412</v>
      </c>
      <c r="B413" s="1" t="n">
        <f aca="false">Campaign_data!D413</f>
        <v>1109.87</v>
      </c>
      <c r="C413" s="1" t="n">
        <f aca="false">Campaign_data!K413</f>
        <v>0.657203095858074</v>
      </c>
      <c r="D413" s="1" t="n">
        <f aca="false">B413</f>
        <v>1109.87</v>
      </c>
      <c r="E413" s="1" t="n">
        <f aca="false">C413</f>
        <v>0.657203095858074</v>
      </c>
      <c r="F413" s="1" t="n">
        <f aca="false">IFERROR(D413*E413,"")</f>
        <v>729.410000000001</v>
      </c>
      <c r="G413" s="1" t="n">
        <f aca="false">Campaign_data!F413</f>
        <v>729.41</v>
      </c>
    </row>
    <row r="414" customFormat="false" ht="12.8" hidden="true" customHeight="false" outlineLevel="0" collapsed="false">
      <c r="A414" s="1" t="n">
        <f aca="false">Campaign_data!A414</f>
        <v>413</v>
      </c>
      <c r="B414" s="1" t="n">
        <f aca="false">Campaign_data!D414</f>
        <v>0</v>
      </c>
      <c r="C414" s="1" t="str">
        <f aca="false">Campaign_data!K414</f>
        <v/>
      </c>
      <c r="D414" s="1" t="n">
        <f aca="false">B414</f>
        <v>0</v>
      </c>
      <c r="E414" s="1" t="str">
        <f aca="false">C414</f>
        <v/>
      </c>
      <c r="F414" s="1" t="str">
        <f aca="false">IFERROR(D414*E414,"")</f>
        <v/>
      </c>
      <c r="G414" s="1" t="n">
        <f aca="false">Campaign_data!F414</f>
        <v>146.12</v>
      </c>
    </row>
    <row r="415" customFormat="false" ht="12.8" hidden="false" customHeight="false" outlineLevel="0" collapsed="false">
      <c r="A415" s="1" t="n">
        <f aca="false">Campaign_data!A415</f>
        <v>414</v>
      </c>
      <c r="B415" s="1" t="n">
        <f aca="false">Campaign_data!D415</f>
        <v>838.85</v>
      </c>
      <c r="C415" s="1" t="n">
        <f aca="false">Campaign_data!K415</f>
        <v>0.529665613637718</v>
      </c>
      <c r="D415" s="1" t="n">
        <f aca="false">B415</f>
        <v>838.85</v>
      </c>
      <c r="E415" s="1" t="n">
        <f aca="false">C415</f>
        <v>0.529665613637718</v>
      </c>
      <c r="F415" s="1" t="n">
        <f aca="false">IFERROR(D415*E415,"")</f>
        <v>444.31</v>
      </c>
      <c r="G415" s="1" t="n">
        <f aca="false">Campaign_data!F415</f>
        <v>444.31</v>
      </c>
    </row>
    <row r="416" customFormat="false" ht="12.8" hidden="false" customHeight="false" outlineLevel="0" collapsed="false">
      <c r="A416" s="1" t="n">
        <f aca="false">Campaign_data!A416</f>
        <v>415</v>
      </c>
      <c r="B416" s="1" t="n">
        <f aca="false">Campaign_data!D416</f>
        <v>4182.27</v>
      </c>
      <c r="C416" s="1" t="n">
        <f aca="false">Campaign_data!K416</f>
        <v>0.496928701399001</v>
      </c>
      <c r="D416" s="1" t="n">
        <f aca="false">B416</f>
        <v>4182.27</v>
      </c>
      <c r="E416" s="1" t="n">
        <f aca="false">C416</f>
        <v>0.496928701399001</v>
      </c>
      <c r="F416" s="1" t="n">
        <f aca="false">IFERROR(D416*E416,"")</f>
        <v>2078.29</v>
      </c>
      <c r="G416" s="1" t="n">
        <f aca="false">Campaign_data!F416</f>
        <v>2078.29</v>
      </c>
    </row>
    <row r="417" customFormat="false" ht="12.8" hidden="false" customHeight="false" outlineLevel="0" collapsed="false">
      <c r="A417" s="1" t="n">
        <f aca="false">Campaign_data!A417</f>
        <v>416</v>
      </c>
      <c r="B417" s="1" t="n">
        <f aca="false">Campaign_data!D417</f>
        <v>1058.89</v>
      </c>
      <c r="C417" s="1" t="n">
        <f aca="false">Campaign_data!K417</f>
        <v>0.231355476017339</v>
      </c>
      <c r="D417" s="1" t="n">
        <f aca="false">B417</f>
        <v>1058.89</v>
      </c>
      <c r="E417" s="1" t="n">
        <f aca="false">C417</f>
        <v>0.231355476017339</v>
      </c>
      <c r="F417" s="1" t="n">
        <f aca="false">IFERROR(D417*E417,"")</f>
        <v>244.98</v>
      </c>
      <c r="G417" s="1" t="n">
        <f aca="false">Campaign_data!F417</f>
        <v>244.98</v>
      </c>
    </row>
    <row r="418" customFormat="false" ht="12.8" hidden="true" customHeight="false" outlineLevel="0" collapsed="false">
      <c r="A418" s="1" t="n">
        <f aca="false">Campaign_data!A418</f>
        <v>417</v>
      </c>
      <c r="B418" s="1" t="n">
        <f aca="false">Campaign_data!D418</f>
        <v>0</v>
      </c>
      <c r="C418" s="1" t="str">
        <f aca="false">Campaign_data!K418</f>
        <v/>
      </c>
      <c r="D418" s="1" t="n">
        <f aca="false">B418</f>
        <v>0</v>
      </c>
      <c r="E418" s="1" t="str">
        <f aca="false">C418</f>
        <v/>
      </c>
      <c r="F418" s="1" t="str">
        <f aca="false">IFERROR(D418*E418,"")</f>
        <v/>
      </c>
      <c r="G418" s="1" t="n">
        <f aca="false">Campaign_data!F418</f>
        <v>326.43</v>
      </c>
    </row>
    <row r="419" customFormat="false" ht="12.8" hidden="false" customHeight="false" outlineLevel="0" collapsed="false">
      <c r="A419" s="1" t="n">
        <f aca="false">Campaign_data!A419</f>
        <v>418</v>
      </c>
      <c r="B419" s="1" t="n">
        <f aca="false">Campaign_data!D419</f>
        <v>48.16</v>
      </c>
      <c r="C419" s="1" t="n">
        <f aca="false">Campaign_data!K419</f>
        <v>0</v>
      </c>
      <c r="D419" s="1" t="n">
        <f aca="false">B419</f>
        <v>48.16</v>
      </c>
      <c r="E419" s="1" t="n">
        <f aca="false">C419</f>
        <v>0</v>
      </c>
      <c r="F419" s="1" t="n">
        <f aca="false">IFERROR(D419*E419,"")</f>
        <v>0</v>
      </c>
      <c r="G419" s="1" t="n">
        <f aca="false">Campaign_data!F419</f>
        <v>0</v>
      </c>
    </row>
    <row r="420" customFormat="false" ht="12.8" hidden="false" customHeight="false" outlineLevel="0" collapsed="false">
      <c r="A420" s="1" t="n">
        <f aca="false">Campaign_data!A420</f>
        <v>419</v>
      </c>
      <c r="B420" s="1" t="n">
        <f aca="false">Campaign_data!D420</f>
        <v>2816.57</v>
      </c>
      <c r="C420" s="1" t="n">
        <f aca="false">Campaign_data!K420</f>
        <v>0.56195301377207</v>
      </c>
      <c r="D420" s="1" t="n">
        <f aca="false">B420</f>
        <v>2816.57</v>
      </c>
      <c r="E420" s="1" t="n">
        <f aca="false">C420</f>
        <v>0.56195301377207</v>
      </c>
      <c r="F420" s="1" t="n">
        <f aca="false">IFERROR(D420*E420,"")</f>
        <v>1582.78</v>
      </c>
      <c r="G420" s="1" t="n">
        <f aca="false">Campaign_data!F420</f>
        <v>1582.78</v>
      </c>
    </row>
    <row r="421" customFormat="false" ht="12.8" hidden="false" customHeight="false" outlineLevel="0" collapsed="false">
      <c r="A421" s="1" t="n">
        <f aca="false">Campaign_data!A421</f>
        <v>420</v>
      </c>
      <c r="B421" s="1" t="n">
        <f aca="false">Campaign_data!D421</f>
        <v>3092.13</v>
      </c>
      <c r="C421" s="1" t="n">
        <f aca="false">Campaign_data!K421</f>
        <v>0.195493074353278</v>
      </c>
      <c r="D421" s="1" t="n">
        <f aca="false">B421</f>
        <v>3092.13</v>
      </c>
      <c r="E421" s="1" t="n">
        <f aca="false">C421</f>
        <v>0.195493074353278</v>
      </c>
      <c r="F421" s="1" t="n">
        <f aca="false">IFERROR(D421*E421,"")</f>
        <v>604.490000000002</v>
      </c>
      <c r="G421" s="1" t="n">
        <f aca="false">Campaign_data!F421</f>
        <v>604.49</v>
      </c>
    </row>
    <row r="422" customFormat="false" ht="12.8" hidden="false" customHeight="false" outlineLevel="0" collapsed="false">
      <c r="A422" s="1" t="n">
        <f aca="false">Campaign_data!A422</f>
        <v>421</v>
      </c>
      <c r="B422" s="1" t="n">
        <f aca="false">Campaign_data!D422</f>
        <v>2373.07</v>
      </c>
      <c r="C422" s="1" t="n">
        <f aca="false">Campaign_data!K422</f>
        <v>0.510924667203243</v>
      </c>
      <c r="D422" s="1" t="n">
        <f aca="false">B422</f>
        <v>2373.07</v>
      </c>
      <c r="E422" s="1" t="n">
        <f aca="false">C422</f>
        <v>0.510924667203243</v>
      </c>
      <c r="F422" s="1" t="n">
        <f aca="false">IFERROR(D422*E422,"")</f>
        <v>1212.46</v>
      </c>
      <c r="G422" s="1" t="n">
        <f aca="false">Campaign_data!F422</f>
        <v>1212.46</v>
      </c>
    </row>
    <row r="423" customFormat="false" ht="12.8" hidden="true" customHeight="false" outlineLevel="0" collapsed="false">
      <c r="A423" s="1" t="n">
        <f aca="false">Campaign_data!A423</f>
        <v>422</v>
      </c>
      <c r="B423" s="1" t="n">
        <f aca="false">Campaign_data!D423</f>
        <v>0</v>
      </c>
      <c r="C423" s="1" t="str">
        <f aca="false">Campaign_data!K423</f>
        <v/>
      </c>
      <c r="D423" s="1" t="n">
        <f aca="false">B423</f>
        <v>0</v>
      </c>
      <c r="E423" s="1" t="str">
        <f aca="false">C423</f>
        <v/>
      </c>
      <c r="F423" s="1" t="str">
        <f aca="false">IFERROR(D423*E423,"")</f>
        <v/>
      </c>
      <c r="G423" s="1" t="n">
        <f aca="false">Campaign_data!F423</f>
        <v>147.31</v>
      </c>
    </row>
    <row r="424" customFormat="false" ht="12.8" hidden="false" customHeight="false" outlineLevel="0" collapsed="false">
      <c r="A424" s="1" t="n">
        <f aca="false">Campaign_data!A424</f>
        <v>423</v>
      </c>
      <c r="B424" s="1" t="n">
        <f aca="false">Campaign_data!D424</f>
        <v>379.44</v>
      </c>
      <c r="C424" s="1" t="n">
        <f aca="false">Campaign_data!K424</f>
        <v>0.513230023192073</v>
      </c>
      <c r="D424" s="1" t="n">
        <f aca="false">B424</f>
        <v>379.44</v>
      </c>
      <c r="E424" s="1" t="n">
        <f aca="false">C424</f>
        <v>0.513230023192073</v>
      </c>
      <c r="F424" s="1" t="n">
        <f aca="false">IFERROR(D424*E424,"")</f>
        <v>194.74</v>
      </c>
      <c r="G424" s="1" t="n">
        <f aca="false">Campaign_data!F424</f>
        <v>194.74</v>
      </c>
    </row>
    <row r="425" customFormat="false" ht="12.8" hidden="false" customHeight="false" outlineLevel="0" collapsed="false">
      <c r="A425" s="1" t="n">
        <f aca="false">Campaign_data!A425</f>
        <v>424</v>
      </c>
      <c r="B425" s="1" t="n">
        <f aca="false">Campaign_data!D425</f>
        <v>3333.5</v>
      </c>
      <c r="C425" s="1" t="n">
        <f aca="false">Campaign_data!K425</f>
        <v>0.454012299385031</v>
      </c>
      <c r="D425" s="1" t="n">
        <f aca="false">B425</f>
        <v>3333.5</v>
      </c>
      <c r="E425" s="1" t="n">
        <f aca="false">C425</f>
        <v>0.454012299385031</v>
      </c>
      <c r="F425" s="1" t="n">
        <f aca="false">IFERROR(D425*E425,"")</f>
        <v>1513.45</v>
      </c>
      <c r="G425" s="1" t="n">
        <f aca="false">Campaign_data!F425</f>
        <v>1513.45</v>
      </c>
    </row>
    <row r="426" customFormat="false" ht="12.8" hidden="true" customHeight="false" outlineLevel="0" collapsed="false">
      <c r="A426" s="1" t="n">
        <f aca="false">Campaign_data!A426</f>
        <v>425</v>
      </c>
      <c r="B426" s="1" t="n">
        <f aca="false">Campaign_data!D426</f>
        <v>0</v>
      </c>
      <c r="C426" s="1" t="str">
        <f aca="false">Campaign_data!K426</f>
        <v/>
      </c>
      <c r="D426" s="1" t="n">
        <f aca="false">B426</f>
        <v>0</v>
      </c>
      <c r="E426" s="1" t="str">
        <f aca="false">C426</f>
        <v/>
      </c>
      <c r="F426" s="1" t="str">
        <f aca="false">IFERROR(D426*E426,"")</f>
        <v/>
      </c>
      <c r="G426" s="1" t="n">
        <f aca="false">Campaign_data!F426</f>
        <v>0</v>
      </c>
    </row>
    <row r="427" customFormat="false" ht="12.8" hidden="true" customHeight="false" outlineLevel="0" collapsed="false">
      <c r="A427" s="1" t="n">
        <f aca="false">Campaign_data!A427</f>
        <v>426</v>
      </c>
      <c r="B427" s="1" t="n">
        <f aca="false">Campaign_data!D427</f>
        <v>0</v>
      </c>
      <c r="C427" s="1" t="str">
        <f aca="false">Campaign_data!K427</f>
        <v/>
      </c>
      <c r="D427" s="1" t="n">
        <f aca="false">B427</f>
        <v>0</v>
      </c>
      <c r="E427" s="1" t="str">
        <f aca="false">C427</f>
        <v/>
      </c>
      <c r="F427" s="1" t="str">
        <f aca="false">IFERROR(D427*E427,"")</f>
        <v/>
      </c>
      <c r="G427" s="1" t="n">
        <f aca="false">Campaign_data!F427</f>
        <v>4160.81</v>
      </c>
    </row>
    <row r="428" customFormat="false" ht="12.8" hidden="true" customHeight="false" outlineLevel="0" collapsed="false">
      <c r="A428" s="1" t="n">
        <f aca="false">Campaign_data!A428</f>
        <v>427</v>
      </c>
      <c r="B428" s="1" t="n">
        <f aca="false">Campaign_data!D428</f>
        <v>0</v>
      </c>
      <c r="C428" s="1" t="str">
        <f aca="false">Campaign_data!K428</f>
        <v/>
      </c>
      <c r="D428" s="1" t="n">
        <f aca="false">B428</f>
        <v>0</v>
      </c>
      <c r="E428" s="1" t="str">
        <f aca="false">C428</f>
        <v/>
      </c>
      <c r="F428" s="1" t="str">
        <f aca="false">IFERROR(D428*E428,"")</f>
        <v/>
      </c>
      <c r="G428" s="1" t="n">
        <f aca="false">Campaign_data!F428</f>
        <v>0</v>
      </c>
    </row>
    <row r="429" customFormat="false" ht="12.8" hidden="true" customHeight="false" outlineLevel="0" collapsed="false">
      <c r="A429" s="1" t="n">
        <f aca="false">Campaign_data!A429</f>
        <v>428</v>
      </c>
      <c r="B429" s="1" t="n">
        <f aca="false">Campaign_data!D429</f>
        <v>0</v>
      </c>
      <c r="C429" s="1" t="str">
        <f aca="false">Campaign_data!K429</f>
        <v/>
      </c>
      <c r="D429" s="1" t="n">
        <f aca="false">B429</f>
        <v>0</v>
      </c>
      <c r="E429" s="1" t="str">
        <f aca="false">C429</f>
        <v/>
      </c>
      <c r="F429" s="1" t="str">
        <f aca="false">IFERROR(D429*E429,"")</f>
        <v/>
      </c>
      <c r="G429" s="1" t="n">
        <f aca="false">Campaign_data!F429</f>
        <v>2977.24</v>
      </c>
    </row>
    <row r="430" customFormat="false" ht="12.8" hidden="true" customHeight="false" outlineLevel="0" collapsed="false">
      <c r="A430" s="1" t="n">
        <f aca="false">Campaign_data!A430</f>
        <v>429</v>
      </c>
      <c r="B430" s="1" t="n">
        <f aca="false">Campaign_data!D430</f>
        <v>0</v>
      </c>
      <c r="C430" s="1" t="str">
        <f aca="false">Campaign_data!K430</f>
        <v/>
      </c>
      <c r="D430" s="1" t="n">
        <f aca="false">B430</f>
        <v>0</v>
      </c>
      <c r="E430" s="1" t="str">
        <f aca="false">C430</f>
        <v/>
      </c>
      <c r="F430" s="1" t="str">
        <f aca="false">IFERROR(D430*E430,"")</f>
        <v/>
      </c>
      <c r="G430" s="1" t="n">
        <f aca="false">Campaign_data!F430</f>
        <v>0</v>
      </c>
    </row>
    <row r="431" customFormat="false" ht="12.8" hidden="false" customHeight="false" outlineLevel="0" collapsed="false">
      <c r="A431" s="1" t="n">
        <f aca="false">Campaign_data!A431</f>
        <v>430</v>
      </c>
      <c r="B431" s="1" t="n">
        <f aca="false">Campaign_data!D431</f>
        <v>2768.15</v>
      </c>
      <c r="C431" s="1" t="n">
        <f aca="false">Campaign_data!K431</f>
        <v>0.33668334447194</v>
      </c>
      <c r="D431" s="1" t="n">
        <f aca="false">B431</f>
        <v>2768.15</v>
      </c>
      <c r="E431" s="1" t="n">
        <f aca="false">C431</f>
        <v>0.33668334447194</v>
      </c>
      <c r="F431" s="1" t="n">
        <f aca="false">IFERROR(D431*E431,"")</f>
        <v>931.990000000001</v>
      </c>
      <c r="G431" s="1" t="n">
        <f aca="false">Campaign_data!F431</f>
        <v>931.99</v>
      </c>
    </row>
    <row r="432" customFormat="false" ht="12.8" hidden="true" customHeight="false" outlineLevel="0" collapsed="false">
      <c r="A432" s="1" t="n">
        <f aca="false">Campaign_data!A432</f>
        <v>431</v>
      </c>
      <c r="B432" s="1" t="n">
        <f aca="false">Campaign_data!D432</f>
        <v>0</v>
      </c>
      <c r="C432" s="1" t="str">
        <f aca="false">Campaign_data!K432</f>
        <v/>
      </c>
      <c r="D432" s="1" t="n">
        <f aca="false">B432</f>
        <v>0</v>
      </c>
      <c r="E432" s="1" t="str">
        <f aca="false">C432</f>
        <v/>
      </c>
      <c r="F432" s="1" t="str">
        <f aca="false">IFERROR(D432*E432,"")</f>
        <v/>
      </c>
      <c r="G432" s="1" t="n">
        <f aca="false">Campaign_data!F432</f>
        <v>0</v>
      </c>
    </row>
    <row r="433" customFormat="false" ht="12.8" hidden="true" customHeight="false" outlineLevel="0" collapsed="false">
      <c r="A433" s="1" t="n">
        <f aca="false">Campaign_data!A433</f>
        <v>432</v>
      </c>
      <c r="B433" s="1" t="n">
        <f aca="false">Campaign_data!D433</f>
        <v>0</v>
      </c>
      <c r="C433" s="1" t="str">
        <f aca="false">Campaign_data!K433</f>
        <v/>
      </c>
      <c r="D433" s="1" t="n">
        <f aca="false">B433</f>
        <v>0</v>
      </c>
      <c r="E433" s="1" t="str">
        <f aca="false">C433</f>
        <v/>
      </c>
      <c r="F433" s="1" t="str">
        <f aca="false">IFERROR(D433*E433,"")</f>
        <v/>
      </c>
      <c r="G433" s="1" t="n">
        <f aca="false">Campaign_data!F433</f>
        <v>1102.25</v>
      </c>
    </row>
    <row r="434" customFormat="false" ht="12.8" hidden="false" customHeight="false" outlineLevel="0" collapsed="false">
      <c r="A434" s="1" t="n">
        <f aca="false">Campaign_data!A434</f>
        <v>433</v>
      </c>
      <c r="B434" s="1" t="n">
        <f aca="false">Campaign_data!D434</f>
        <v>130.2</v>
      </c>
      <c r="C434" s="1" t="n">
        <f aca="false">Campaign_data!K434</f>
        <v>0</v>
      </c>
      <c r="D434" s="1" t="n">
        <f aca="false">B434</f>
        <v>130.2</v>
      </c>
      <c r="E434" s="1" t="n">
        <f aca="false">C434</f>
        <v>0</v>
      </c>
      <c r="F434" s="1" t="n">
        <f aca="false">IFERROR(D434*E434,"")</f>
        <v>0</v>
      </c>
      <c r="G434" s="1" t="n">
        <f aca="false">Campaign_data!F434</f>
        <v>0</v>
      </c>
    </row>
    <row r="435" customFormat="false" ht="12.8" hidden="false" customHeight="false" outlineLevel="0" collapsed="false">
      <c r="A435" s="1" t="n">
        <f aca="false">Campaign_data!A435</f>
        <v>434</v>
      </c>
      <c r="B435" s="1" t="n">
        <f aca="false">Campaign_data!D435</f>
        <v>5840.99</v>
      </c>
      <c r="C435" s="1" t="n">
        <f aca="false">Campaign_data!K435</f>
        <v>0.346400182160901</v>
      </c>
      <c r="D435" s="1" t="n">
        <f aca="false">B435</f>
        <v>5840.99</v>
      </c>
      <c r="E435" s="1" t="n">
        <f aca="false">C435</f>
        <v>0.346400182160901</v>
      </c>
      <c r="F435" s="1" t="n">
        <f aca="false">IFERROR(D435*E435,"")</f>
        <v>2023.32</v>
      </c>
      <c r="G435" s="1" t="n">
        <f aca="false">Campaign_data!F435</f>
        <v>2023.32</v>
      </c>
    </row>
    <row r="436" customFormat="false" ht="12.8" hidden="false" customHeight="false" outlineLevel="0" collapsed="false">
      <c r="A436" s="1" t="n">
        <f aca="false">Campaign_data!A436</f>
        <v>435</v>
      </c>
      <c r="B436" s="1" t="n">
        <f aca="false">Campaign_data!D436</f>
        <v>303.62</v>
      </c>
      <c r="C436" s="1" t="n">
        <f aca="false">Campaign_data!K436</f>
        <v>0</v>
      </c>
      <c r="D436" s="1" t="n">
        <f aca="false">B436</f>
        <v>303.62</v>
      </c>
      <c r="E436" s="1" t="n">
        <f aca="false">C436</f>
        <v>0</v>
      </c>
      <c r="F436" s="1" t="n">
        <f aca="false">IFERROR(D436*E436,"")</f>
        <v>0</v>
      </c>
      <c r="G436" s="1" t="n">
        <f aca="false">Campaign_data!F436</f>
        <v>0</v>
      </c>
    </row>
    <row r="437" customFormat="false" ht="12.8" hidden="false" customHeight="false" outlineLevel="0" collapsed="false">
      <c r="A437" s="1" t="n">
        <f aca="false">Campaign_data!A437</f>
        <v>436</v>
      </c>
      <c r="B437" s="1" t="n">
        <f aca="false">Campaign_data!D437</f>
        <v>549.81</v>
      </c>
      <c r="C437" s="1" t="n">
        <f aca="false">Campaign_data!K437</f>
        <v>0.386660846474237</v>
      </c>
      <c r="D437" s="1" t="n">
        <f aca="false">B437</f>
        <v>549.81</v>
      </c>
      <c r="E437" s="1" t="n">
        <f aca="false">C437</f>
        <v>0.386660846474237</v>
      </c>
      <c r="F437" s="1" t="n">
        <f aca="false">IFERROR(D437*E437,"")</f>
        <v>212.59</v>
      </c>
      <c r="G437" s="1" t="n">
        <f aca="false">Campaign_data!F437</f>
        <v>212.59</v>
      </c>
    </row>
    <row r="438" customFormat="false" ht="12.8" hidden="true" customHeight="false" outlineLevel="0" collapsed="false">
      <c r="A438" s="1" t="n">
        <f aca="false">Campaign_data!A438</f>
        <v>437</v>
      </c>
      <c r="B438" s="1" t="n">
        <f aca="false">Campaign_data!D438</f>
        <v>0</v>
      </c>
      <c r="C438" s="1" t="str">
        <f aca="false">Campaign_data!K438</f>
        <v/>
      </c>
      <c r="D438" s="1" t="n">
        <f aca="false">B438</f>
        <v>0</v>
      </c>
      <c r="E438" s="1" t="str">
        <f aca="false">C438</f>
        <v/>
      </c>
      <c r="F438" s="1" t="str">
        <f aca="false">IFERROR(D438*E438,"")</f>
        <v/>
      </c>
      <c r="G438" s="1" t="n">
        <f aca="false">Campaign_data!F438</f>
        <v>0</v>
      </c>
    </row>
    <row r="439" customFormat="false" ht="12.8" hidden="false" customHeight="false" outlineLevel="0" collapsed="false">
      <c r="A439" s="1" t="n">
        <f aca="false">Campaign_data!A439</f>
        <v>438</v>
      </c>
      <c r="B439" s="1" t="n">
        <f aca="false">Campaign_data!D439</f>
        <v>2110.38</v>
      </c>
      <c r="C439" s="1" t="n">
        <f aca="false">Campaign_data!K439</f>
        <v>0.447151697798501</v>
      </c>
      <c r="D439" s="1" t="n">
        <f aca="false">B439</f>
        <v>2110.38</v>
      </c>
      <c r="E439" s="1" t="n">
        <f aca="false">C439</f>
        <v>0.447151697798501</v>
      </c>
      <c r="F439" s="1" t="n">
        <f aca="false">IFERROR(D439*E439,"")</f>
        <v>943.660000000001</v>
      </c>
      <c r="G439" s="1" t="n">
        <f aca="false">Campaign_data!F439</f>
        <v>943.66</v>
      </c>
    </row>
    <row r="440" customFormat="false" ht="12.8" hidden="false" customHeight="false" outlineLevel="0" collapsed="false">
      <c r="A440" s="1" t="n">
        <f aca="false">Campaign_data!A440</f>
        <v>439</v>
      </c>
      <c r="B440" s="1" t="n">
        <f aca="false">Campaign_data!D440</f>
        <v>1871.97</v>
      </c>
      <c r="C440" s="1" t="n">
        <f aca="false">Campaign_data!K440</f>
        <v>0.200847235799719</v>
      </c>
      <c r="D440" s="1" t="n">
        <f aca="false">B440</f>
        <v>1871.97</v>
      </c>
      <c r="E440" s="1" t="n">
        <f aca="false">C440</f>
        <v>0.200847235799719</v>
      </c>
      <c r="F440" s="1" t="n">
        <f aca="false">IFERROR(D440*E440,"")</f>
        <v>375.98</v>
      </c>
      <c r="G440" s="1" t="n">
        <f aca="false">Campaign_data!F440</f>
        <v>375.98</v>
      </c>
    </row>
    <row r="441" customFormat="false" ht="12.8" hidden="false" customHeight="false" outlineLevel="0" collapsed="false">
      <c r="A441" s="1" t="n">
        <f aca="false">Campaign_data!A441</f>
        <v>440</v>
      </c>
      <c r="B441" s="1" t="n">
        <f aca="false">Campaign_data!D441</f>
        <v>515.64</v>
      </c>
      <c r="C441" s="1" t="n">
        <f aca="false">Campaign_data!K441</f>
        <v>0.880148941121713</v>
      </c>
      <c r="D441" s="1" t="n">
        <f aca="false">B441</f>
        <v>515.64</v>
      </c>
      <c r="E441" s="1" t="n">
        <f aca="false">C441</f>
        <v>0.880148941121713</v>
      </c>
      <c r="F441" s="1" t="n">
        <f aca="false">IFERROR(D441*E441,"")</f>
        <v>453.84</v>
      </c>
      <c r="G441" s="1" t="n">
        <f aca="false">Campaign_data!F441</f>
        <v>453.84</v>
      </c>
    </row>
    <row r="442" customFormat="false" ht="12.8" hidden="false" customHeight="false" outlineLevel="0" collapsed="false">
      <c r="A442" s="1" t="n">
        <f aca="false">Campaign_data!A442</f>
        <v>441</v>
      </c>
      <c r="B442" s="1" t="n">
        <f aca="false">Campaign_data!D442</f>
        <v>174.86</v>
      </c>
      <c r="C442" s="1" t="n">
        <f aca="false">Campaign_data!K442</f>
        <v>0</v>
      </c>
      <c r="D442" s="1" t="n">
        <f aca="false">B442</f>
        <v>174.86</v>
      </c>
      <c r="E442" s="1" t="n">
        <f aca="false">C442</f>
        <v>0</v>
      </c>
      <c r="F442" s="1" t="n">
        <f aca="false">IFERROR(D442*E442,"")</f>
        <v>0</v>
      </c>
      <c r="G442" s="1" t="n">
        <f aca="false">Campaign_data!F442</f>
        <v>0</v>
      </c>
    </row>
    <row r="443" customFormat="false" ht="12.8" hidden="true" customHeight="false" outlineLevel="0" collapsed="false">
      <c r="A443" s="1" t="n">
        <f aca="false">Campaign_data!A443</f>
        <v>442</v>
      </c>
      <c r="B443" s="1" t="n">
        <f aca="false">Campaign_data!D443</f>
        <v>0</v>
      </c>
      <c r="C443" s="1" t="str">
        <f aca="false">Campaign_data!K443</f>
        <v/>
      </c>
      <c r="D443" s="1" t="n">
        <f aca="false">B443</f>
        <v>0</v>
      </c>
      <c r="E443" s="1" t="str">
        <f aca="false">C443</f>
        <v/>
      </c>
      <c r="F443" s="1" t="str">
        <f aca="false">IFERROR(D443*E443,"")</f>
        <v/>
      </c>
      <c r="G443" s="1" t="n">
        <f aca="false">Campaign_data!F443</f>
        <v>0</v>
      </c>
    </row>
    <row r="444" customFormat="false" ht="12.8" hidden="true" customHeight="false" outlineLevel="0" collapsed="false">
      <c r="A444" s="1" t="n">
        <f aca="false">Campaign_data!A444</f>
        <v>443</v>
      </c>
      <c r="B444" s="1" t="n">
        <f aca="false">Campaign_data!D444</f>
        <v>0</v>
      </c>
      <c r="C444" s="1" t="str">
        <f aca="false">Campaign_data!K444</f>
        <v/>
      </c>
      <c r="D444" s="1" t="n">
        <f aca="false">B444</f>
        <v>0</v>
      </c>
      <c r="E444" s="1" t="str">
        <f aca="false">C444</f>
        <v/>
      </c>
      <c r="F444" s="1" t="str">
        <f aca="false">IFERROR(D444*E444,"")</f>
        <v/>
      </c>
      <c r="G444" s="1" t="n">
        <f aca="false">Campaign_data!F444</f>
        <v>76.26</v>
      </c>
    </row>
    <row r="445" customFormat="false" ht="12.8" hidden="true" customHeight="false" outlineLevel="0" collapsed="false">
      <c r="A445" s="1" t="n">
        <f aca="false">Campaign_data!A445</f>
        <v>444</v>
      </c>
      <c r="B445" s="1" t="n">
        <f aca="false">Campaign_data!D445</f>
        <v>0</v>
      </c>
      <c r="C445" s="1" t="str">
        <f aca="false">Campaign_data!K445</f>
        <v/>
      </c>
      <c r="D445" s="1" t="n">
        <f aca="false">B445</f>
        <v>0</v>
      </c>
      <c r="E445" s="1" t="str">
        <f aca="false">C445</f>
        <v/>
      </c>
      <c r="F445" s="1" t="str">
        <f aca="false">IFERROR(D445*E445,"")</f>
        <v/>
      </c>
      <c r="G445" s="1" t="n">
        <f aca="false">Campaign_data!F445</f>
        <v>0</v>
      </c>
    </row>
    <row r="446" customFormat="false" ht="12.8" hidden="true" customHeight="false" outlineLevel="0" collapsed="false">
      <c r="A446" s="1" t="n">
        <f aca="false">Campaign_data!A446</f>
        <v>445</v>
      </c>
      <c r="B446" s="1" t="n">
        <f aca="false">Campaign_data!D446</f>
        <v>0</v>
      </c>
      <c r="C446" s="1" t="str">
        <f aca="false">Campaign_data!K446</f>
        <v/>
      </c>
      <c r="D446" s="1" t="n">
        <f aca="false">B446</f>
        <v>0</v>
      </c>
      <c r="E446" s="1" t="str">
        <f aca="false">C446</f>
        <v/>
      </c>
      <c r="F446" s="1" t="str">
        <f aca="false">IFERROR(D446*E446,"")</f>
        <v/>
      </c>
      <c r="G446" s="1" t="n">
        <f aca="false">Campaign_data!F446</f>
        <v>0</v>
      </c>
    </row>
    <row r="447" customFormat="false" ht="12.8" hidden="true" customHeight="false" outlineLevel="0" collapsed="false">
      <c r="A447" s="1" t="n">
        <f aca="false">Campaign_data!A447</f>
        <v>446</v>
      </c>
      <c r="B447" s="1" t="n">
        <f aca="false">Campaign_data!D447</f>
        <v>0</v>
      </c>
      <c r="C447" s="1" t="str">
        <f aca="false">Campaign_data!K447</f>
        <v/>
      </c>
      <c r="D447" s="1" t="n">
        <f aca="false">B447</f>
        <v>0</v>
      </c>
      <c r="E447" s="1" t="str">
        <f aca="false">C447</f>
        <v/>
      </c>
      <c r="F447" s="1" t="str">
        <f aca="false">IFERROR(D447*E447,"")</f>
        <v/>
      </c>
      <c r="G447" s="1" t="n">
        <f aca="false">Campaign_data!F447</f>
        <v>0</v>
      </c>
    </row>
    <row r="448" customFormat="false" ht="12.8" hidden="false" customHeight="false" outlineLevel="0" collapsed="false">
      <c r="A448" s="1" t="n">
        <f aca="false">Campaign_data!A448</f>
        <v>447</v>
      </c>
      <c r="B448" s="1" t="n">
        <f aca="false">Campaign_data!D448</f>
        <v>948.64</v>
      </c>
      <c r="C448" s="1" t="n">
        <f aca="false">Campaign_data!K448</f>
        <v>0.364100185528757</v>
      </c>
      <c r="D448" s="1" t="n">
        <f aca="false">B448</f>
        <v>948.64</v>
      </c>
      <c r="E448" s="1" t="n">
        <f aca="false">C448</f>
        <v>0.364100185528757</v>
      </c>
      <c r="F448" s="1" t="n">
        <f aca="false">IFERROR(D448*E448,"")</f>
        <v>345.4</v>
      </c>
      <c r="G448" s="1" t="n">
        <f aca="false">Campaign_data!F448</f>
        <v>345.4</v>
      </c>
    </row>
    <row r="449" customFormat="false" ht="12.8" hidden="true" customHeight="false" outlineLevel="0" collapsed="false">
      <c r="A449" s="1" t="n">
        <f aca="false">Campaign_data!A449</f>
        <v>448</v>
      </c>
      <c r="B449" s="1" t="n">
        <f aca="false">Campaign_data!D449</f>
        <v>0</v>
      </c>
      <c r="C449" s="1" t="str">
        <f aca="false">Campaign_data!K449</f>
        <v/>
      </c>
      <c r="D449" s="1" t="n">
        <f aca="false">B449</f>
        <v>0</v>
      </c>
      <c r="E449" s="1" t="str">
        <f aca="false">C449</f>
        <v/>
      </c>
      <c r="F449" s="1" t="str">
        <f aca="false">IFERROR(D449*E449,"")</f>
        <v/>
      </c>
      <c r="G449" s="1" t="n">
        <f aca="false">Campaign_data!F449</f>
        <v>0</v>
      </c>
    </row>
    <row r="450" customFormat="false" ht="12.8" hidden="true" customHeight="false" outlineLevel="0" collapsed="false">
      <c r="A450" s="1" t="n">
        <f aca="false">Campaign_data!A450</f>
        <v>449</v>
      </c>
      <c r="B450" s="1" t="n">
        <f aca="false">Campaign_data!D450</f>
        <v>0</v>
      </c>
      <c r="C450" s="1" t="str">
        <f aca="false">Campaign_data!K450</f>
        <v/>
      </c>
      <c r="D450" s="1" t="n">
        <f aca="false">B450</f>
        <v>0</v>
      </c>
      <c r="E450" s="1" t="str">
        <f aca="false">C450</f>
        <v/>
      </c>
      <c r="F450" s="1" t="str">
        <f aca="false">IFERROR(D450*E450,"")</f>
        <v/>
      </c>
      <c r="G450" s="1" t="n">
        <f aca="false">Campaign_data!F450</f>
        <v>24.63</v>
      </c>
    </row>
    <row r="451" customFormat="false" ht="12.8" hidden="false" customHeight="false" outlineLevel="0" collapsed="false">
      <c r="A451" s="1" t="n">
        <f aca="false">Campaign_data!A451</f>
        <v>450</v>
      </c>
      <c r="B451" s="1" t="n">
        <f aca="false">Campaign_data!D451</f>
        <v>218.27</v>
      </c>
      <c r="C451" s="1" t="n">
        <f aca="false">Campaign_data!K451</f>
        <v>0.635909653181839</v>
      </c>
      <c r="D451" s="1" t="n">
        <f aca="false">B451</f>
        <v>218.27</v>
      </c>
      <c r="E451" s="1" t="n">
        <f aca="false">C451</f>
        <v>0.635909653181839</v>
      </c>
      <c r="F451" s="1" t="n">
        <f aca="false">IFERROR(D451*E451,"")</f>
        <v>138.8</v>
      </c>
      <c r="G451" s="1" t="n">
        <f aca="false">Campaign_data!F451</f>
        <v>138.8</v>
      </c>
    </row>
    <row r="452" customFormat="false" ht="12.8" hidden="false" customHeight="false" outlineLevel="0" collapsed="false">
      <c r="A452" s="1" t="n">
        <f aca="false">Campaign_data!A452</f>
        <v>451</v>
      </c>
      <c r="B452" s="1" t="n">
        <f aca="false">Campaign_data!D452</f>
        <v>3065.84</v>
      </c>
      <c r="C452" s="1" t="n">
        <f aca="false">Campaign_data!K452</f>
        <v>0.364037262218511</v>
      </c>
      <c r="D452" s="1" t="n">
        <f aca="false">B452</f>
        <v>3065.84</v>
      </c>
      <c r="E452" s="1" t="n">
        <f aca="false">C452</f>
        <v>0.364037262218511</v>
      </c>
      <c r="F452" s="1" t="n">
        <f aca="false">IFERROR(D452*E452,"")</f>
        <v>1116.08</v>
      </c>
      <c r="G452" s="1" t="n">
        <f aca="false">Campaign_data!F452</f>
        <v>1116.08</v>
      </c>
    </row>
    <row r="453" customFormat="false" ht="12.8" hidden="false" customHeight="false" outlineLevel="0" collapsed="false">
      <c r="A453" s="1" t="n">
        <f aca="false">Campaign_data!A453</f>
        <v>452</v>
      </c>
      <c r="B453" s="1" t="n">
        <f aca="false">Campaign_data!D453</f>
        <v>1347.04</v>
      </c>
      <c r="C453" s="1" t="n">
        <f aca="false">Campaign_data!K453</f>
        <v>0.516324682266303</v>
      </c>
      <c r="D453" s="1" t="n">
        <f aca="false">B453</f>
        <v>1347.04</v>
      </c>
      <c r="E453" s="1" t="n">
        <f aca="false">C453</f>
        <v>0.516324682266303</v>
      </c>
      <c r="F453" s="1" t="n">
        <f aca="false">IFERROR(D453*E453,"")</f>
        <v>695.510000000001</v>
      </c>
      <c r="G453" s="1" t="n">
        <f aca="false">Campaign_data!F453</f>
        <v>695.51</v>
      </c>
    </row>
    <row r="454" customFormat="false" ht="12.8" hidden="false" customHeight="false" outlineLevel="0" collapsed="false">
      <c r="A454" s="1" t="n">
        <f aca="false">Campaign_data!A454</f>
        <v>453</v>
      </c>
      <c r="B454" s="1" t="n">
        <f aca="false">Campaign_data!D454</f>
        <v>2651.02</v>
      </c>
      <c r="C454" s="1" t="n">
        <f aca="false">Campaign_data!K454</f>
        <v>0</v>
      </c>
      <c r="D454" s="1" t="n">
        <f aca="false">B454</f>
        <v>2651.02</v>
      </c>
      <c r="E454" s="1" t="n">
        <f aca="false">C454</f>
        <v>0</v>
      </c>
      <c r="F454" s="1" t="n">
        <f aca="false">IFERROR(D454*E454,"")</f>
        <v>0</v>
      </c>
      <c r="G454" s="1" t="n">
        <f aca="false">Campaign_data!F454</f>
        <v>0</v>
      </c>
    </row>
    <row r="455" customFormat="false" ht="12.8" hidden="true" customHeight="false" outlineLevel="0" collapsed="false">
      <c r="A455" s="1" t="n">
        <f aca="false">Campaign_data!A455</f>
        <v>454</v>
      </c>
      <c r="B455" s="1" t="n">
        <f aca="false">Campaign_data!D455</f>
        <v>0</v>
      </c>
      <c r="C455" s="1" t="str">
        <f aca="false">Campaign_data!K455</f>
        <v/>
      </c>
      <c r="D455" s="1" t="n">
        <f aca="false">B455</f>
        <v>0</v>
      </c>
      <c r="E455" s="1" t="str">
        <f aca="false">C455</f>
        <v/>
      </c>
      <c r="F455" s="1" t="str">
        <f aca="false">IFERROR(D455*E455,"")</f>
        <v/>
      </c>
      <c r="G455" s="1" t="n">
        <f aca="false">Campaign_data!F455</f>
        <v>0</v>
      </c>
    </row>
    <row r="456" customFormat="false" ht="12.8" hidden="true" customHeight="false" outlineLevel="0" collapsed="false">
      <c r="A456" s="1" t="n">
        <f aca="false">Campaign_data!A456</f>
        <v>455</v>
      </c>
      <c r="B456" s="1" t="n">
        <f aca="false">Campaign_data!D456</f>
        <v>0</v>
      </c>
      <c r="C456" s="1" t="str">
        <f aca="false">Campaign_data!K456</f>
        <v/>
      </c>
      <c r="D456" s="1" t="n">
        <f aca="false">B456</f>
        <v>0</v>
      </c>
      <c r="E456" s="1" t="str">
        <f aca="false">C456</f>
        <v/>
      </c>
      <c r="F456" s="1" t="str">
        <f aca="false">IFERROR(D456*E456,"")</f>
        <v/>
      </c>
      <c r="G456" s="1" t="n">
        <f aca="false">Campaign_data!F456</f>
        <v>0</v>
      </c>
    </row>
    <row r="457" customFormat="false" ht="12.8" hidden="false" customHeight="false" outlineLevel="0" collapsed="false">
      <c r="A457" s="1" t="n">
        <f aca="false">Campaign_data!A457</f>
        <v>456</v>
      </c>
      <c r="B457" s="1" t="n">
        <f aca="false">Campaign_data!D457</f>
        <v>4127.61</v>
      </c>
      <c r="C457" s="1" t="n">
        <f aca="false">Campaign_data!K457</f>
        <v>0.505016220040169</v>
      </c>
      <c r="D457" s="1" t="n">
        <f aca="false">B457</f>
        <v>4127.61</v>
      </c>
      <c r="E457" s="1" t="n">
        <f aca="false">C457</f>
        <v>0.505016220040169</v>
      </c>
      <c r="F457" s="1" t="n">
        <f aca="false">IFERROR(D457*E457,"")</f>
        <v>2084.51</v>
      </c>
      <c r="G457" s="1" t="n">
        <f aca="false">Campaign_data!F457</f>
        <v>2084.51</v>
      </c>
    </row>
    <row r="458" customFormat="false" ht="12.8" hidden="false" customHeight="false" outlineLevel="0" collapsed="false">
      <c r="A458" s="1" t="n">
        <f aca="false">Campaign_data!A458</f>
        <v>457</v>
      </c>
      <c r="B458" s="1" t="n">
        <f aca="false">Campaign_data!D458</f>
        <v>8798.93</v>
      </c>
      <c r="C458" s="1" t="n">
        <f aca="false">Campaign_data!K458</f>
        <v>0.372689633853207</v>
      </c>
      <c r="D458" s="1" t="n">
        <f aca="false">B458</f>
        <v>8798.93</v>
      </c>
      <c r="E458" s="1" t="n">
        <f aca="false">C458</f>
        <v>0.372689633853207</v>
      </c>
      <c r="F458" s="1" t="n">
        <f aca="false">IFERROR(D458*E458,"")</f>
        <v>3279.27</v>
      </c>
      <c r="G458" s="1" t="n">
        <f aca="false">Campaign_data!F458</f>
        <v>3279.27</v>
      </c>
    </row>
    <row r="459" customFormat="false" ht="12.8" hidden="false" customHeight="false" outlineLevel="0" collapsed="false">
      <c r="A459" s="1" t="n">
        <f aca="false">Campaign_data!A459</f>
        <v>458</v>
      </c>
      <c r="B459" s="1" t="n">
        <f aca="false">Campaign_data!D459</f>
        <v>3812.42</v>
      </c>
      <c r="C459" s="1" t="n">
        <f aca="false">Campaign_data!K459</f>
        <v>0.718735081654172</v>
      </c>
      <c r="D459" s="1" t="n">
        <f aca="false">B459</f>
        <v>3812.42</v>
      </c>
      <c r="E459" s="1" t="n">
        <f aca="false">C459</f>
        <v>0.718735081654172</v>
      </c>
      <c r="F459" s="1" t="n">
        <f aca="false">IFERROR(D459*E459,"")</f>
        <v>2740.12</v>
      </c>
      <c r="G459" s="1" t="n">
        <f aca="false">Campaign_data!F459</f>
        <v>2740.12</v>
      </c>
    </row>
    <row r="460" customFormat="false" ht="12.8" hidden="true" customHeight="false" outlineLevel="0" collapsed="false">
      <c r="A460" s="1" t="n">
        <f aca="false">Campaign_data!A460</f>
        <v>459</v>
      </c>
      <c r="B460" s="1" t="n">
        <f aca="false">Campaign_data!D460</f>
        <v>0</v>
      </c>
      <c r="C460" s="1" t="str">
        <f aca="false">Campaign_data!K460</f>
        <v/>
      </c>
      <c r="D460" s="1" t="n">
        <f aca="false">B460</f>
        <v>0</v>
      </c>
      <c r="E460" s="1" t="str">
        <f aca="false">C460</f>
        <v/>
      </c>
      <c r="F460" s="1" t="str">
        <f aca="false">IFERROR(D460*E460,"")</f>
        <v/>
      </c>
      <c r="G460" s="1" t="n">
        <f aca="false">Campaign_data!F460</f>
        <v>0</v>
      </c>
    </row>
    <row r="461" customFormat="false" ht="12.8" hidden="true" customHeight="false" outlineLevel="0" collapsed="false">
      <c r="A461" s="1" t="n">
        <f aca="false">Campaign_data!A461</f>
        <v>460</v>
      </c>
      <c r="B461" s="1" t="n">
        <f aca="false">Campaign_data!D461</f>
        <v>0</v>
      </c>
      <c r="C461" s="1" t="str">
        <f aca="false">Campaign_data!K461</f>
        <v/>
      </c>
      <c r="D461" s="1" t="n">
        <f aca="false">B461</f>
        <v>0</v>
      </c>
      <c r="E461" s="1" t="str">
        <f aca="false">C461</f>
        <v/>
      </c>
      <c r="F461" s="1" t="str">
        <f aca="false">IFERROR(D461*E461,"")</f>
        <v/>
      </c>
      <c r="G461" s="1" t="n">
        <f aca="false">Campaign_data!F461</f>
        <v>0</v>
      </c>
    </row>
    <row r="462" customFormat="false" ht="12.8" hidden="false" customHeight="false" outlineLevel="0" collapsed="false">
      <c r="A462" s="1" t="n">
        <f aca="false">Campaign_data!A462</f>
        <v>461</v>
      </c>
      <c r="B462" s="1" t="n">
        <f aca="false">Campaign_data!D462</f>
        <v>694.63</v>
      </c>
      <c r="C462" s="1" t="n">
        <f aca="false">Campaign_data!K462</f>
        <v>0.131494464679038</v>
      </c>
      <c r="D462" s="1" t="n">
        <f aca="false">B462</f>
        <v>694.63</v>
      </c>
      <c r="E462" s="1" t="n">
        <f aca="false">C462</f>
        <v>0.131494464679038</v>
      </c>
      <c r="F462" s="1" t="n">
        <f aca="false">IFERROR(D462*E462,"")</f>
        <v>91.3400000000002</v>
      </c>
      <c r="G462" s="1" t="n">
        <f aca="false">Campaign_data!F462</f>
        <v>91.34</v>
      </c>
    </row>
    <row r="463" customFormat="false" ht="12.8" hidden="false" customHeight="false" outlineLevel="0" collapsed="false">
      <c r="A463" s="1" t="n">
        <f aca="false">Campaign_data!A463</f>
        <v>462</v>
      </c>
      <c r="B463" s="1" t="n">
        <f aca="false">Campaign_data!D463</f>
        <v>2218.82</v>
      </c>
      <c r="C463" s="1" t="n">
        <f aca="false">Campaign_data!K463</f>
        <v>0</v>
      </c>
      <c r="D463" s="1" t="n">
        <f aca="false">B463</f>
        <v>2218.82</v>
      </c>
      <c r="E463" s="1" t="n">
        <f aca="false">C463</f>
        <v>0</v>
      </c>
      <c r="F463" s="1" t="n">
        <f aca="false">IFERROR(D463*E463,"")</f>
        <v>0</v>
      </c>
      <c r="G463" s="1" t="n">
        <f aca="false">Campaign_data!F463</f>
        <v>0</v>
      </c>
    </row>
    <row r="464" customFormat="false" ht="12.8" hidden="false" customHeight="false" outlineLevel="0" collapsed="false">
      <c r="A464" s="1" t="n">
        <f aca="false">Campaign_data!A464</f>
        <v>463</v>
      </c>
      <c r="B464" s="1" t="n">
        <f aca="false">Campaign_data!D464</f>
        <v>3329.7</v>
      </c>
      <c r="C464" s="1" t="n">
        <f aca="false">Campaign_data!K464</f>
        <v>0.796513199387332</v>
      </c>
      <c r="D464" s="1" t="n">
        <f aca="false">B464</f>
        <v>3329.7</v>
      </c>
      <c r="E464" s="1" t="n">
        <f aca="false">C464</f>
        <v>0.796513199387332</v>
      </c>
      <c r="F464" s="1" t="n">
        <f aca="false">IFERROR(D464*E464,"")</f>
        <v>2652.15</v>
      </c>
      <c r="G464" s="1" t="n">
        <f aca="false">Campaign_data!F464</f>
        <v>2652.15</v>
      </c>
    </row>
    <row r="465" customFormat="false" ht="12.8" hidden="false" customHeight="false" outlineLevel="0" collapsed="false">
      <c r="A465" s="1" t="n">
        <f aca="false">Campaign_data!A465</f>
        <v>464</v>
      </c>
      <c r="B465" s="1" t="n">
        <f aca="false">Campaign_data!D465</f>
        <v>1432.19</v>
      </c>
      <c r="C465" s="1" t="n">
        <f aca="false">Campaign_data!K465</f>
        <v>0.351035826252103</v>
      </c>
      <c r="D465" s="1" t="n">
        <f aca="false">B465</f>
        <v>1432.19</v>
      </c>
      <c r="E465" s="1" t="n">
        <f aca="false">C465</f>
        <v>0.351035826252103</v>
      </c>
      <c r="F465" s="1" t="n">
        <f aca="false">IFERROR(D465*E465,"")</f>
        <v>502.749999999999</v>
      </c>
      <c r="G465" s="1" t="n">
        <f aca="false">Campaign_data!F465</f>
        <v>502.75</v>
      </c>
    </row>
    <row r="466" customFormat="false" ht="12.8" hidden="true" customHeight="false" outlineLevel="0" collapsed="false">
      <c r="A466" s="1" t="n">
        <f aca="false">Campaign_data!A466</f>
        <v>465</v>
      </c>
      <c r="B466" s="1" t="n">
        <f aca="false">Campaign_data!D466</f>
        <v>0</v>
      </c>
      <c r="C466" s="1" t="str">
        <f aca="false">Campaign_data!K466</f>
        <v/>
      </c>
      <c r="D466" s="1" t="n">
        <f aca="false">B466</f>
        <v>0</v>
      </c>
      <c r="E466" s="1" t="str">
        <f aca="false">C466</f>
        <v/>
      </c>
      <c r="F466" s="1" t="str">
        <f aca="false">IFERROR(D466*E466,"")</f>
        <v/>
      </c>
      <c r="G466" s="1" t="n">
        <f aca="false">Campaign_data!F466</f>
        <v>0</v>
      </c>
    </row>
    <row r="467" customFormat="false" ht="12.8" hidden="true" customHeight="false" outlineLevel="0" collapsed="false">
      <c r="A467" s="1" t="n">
        <f aca="false">Campaign_data!A467</f>
        <v>466</v>
      </c>
      <c r="B467" s="1" t="n">
        <f aca="false">Campaign_data!D467</f>
        <v>0</v>
      </c>
      <c r="C467" s="1" t="str">
        <f aca="false">Campaign_data!K467</f>
        <v/>
      </c>
      <c r="D467" s="1" t="n">
        <f aca="false">B467</f>
        <v>0</v>
      </c>
      <c r="E467" s="1" t="str">
        <f aca="false">C467</f>
        <v/>
      </c>
      <c r="F467" s="1" t="str">
        <f aca="false">IFERROR(D467*E467,"")</f>
        <v/>
      </c>
      <c r="G467" s="1" t="n">
        <f aca="false">Campaign_data!F467</f>
        <v>2812.11</v>
      </c>
    </row>
    <row r="468" customFormat="false" ht="12.8" hidden="false" customHeight="false" outlineLevel="0" collapsed="false">
      <c r="A468" s="1" t="n">
        <f aca="false">Campaign_data!A468</f>
        <v>467</v>
      </c>
      <c r="B468" s="1" t="n">
        <f aca="false">Campaign_data!D468</f>
        <v>3605.54</v>
      </c>
      <c r="C468" s="1" t="n">
        <f aca="false">Campaign_data!K468</f>
        <v>0.369500823732367</v>
      </c>
      <c r="D468" s="1" t="n">
        <f aca="false">B468</f>
        <v>3605.54</v>
      </c>
      <c r="E468" s="1" t="n">
        <f aca="false">C468</f>
        <v>0.369500823732367</v>
      </c>
      <c r="F468" s="1" t="n">
        <f aca="false">IFERROR(D468*E468,"")</f>
        <v>1332.25</v>
      </c>
      <c r="G468" s="1" t="n">
        <f aca="false">Campaign_data!F468</f>
        <v>1332.25</v>
      </c>
    </row>
    <row r="469" customFormat="false" ht="12.8" hidden="false" customHeight="false" outlineLevel="0" collapsed="false">
      <c r="A469" s="1" t="n">
        <f aca="false">Campaign_data!A469</f>
        <v>468</v>
      </c>
      <c r="B469" s="1" t="n">
        <f aca="false">Campaign_data!D469</f>
        <v>5233.46</v>
      </c>
      <c r="C469" s="1" t="n">
        <f aca="false">Campaign_data!K469</f>
        <v>0.403060308094454</v>
      </c>
      <c r="D469" s="1" t="n">
        <f aca="false">B469</f>
        <v>5233.46</v>
      </c>
      <c r="E469" s="1" t="n">
        <f aca="false">C469</f>
        <v>0.403060308094454</v>
      </c>
      <c r="F469" s="1" t="n">
        <f aca="false">IFERROR(D469*E469,"")</f>
        <v>2109.4</v>
      </c>
      <c r="G469" s="1" t="n">
        <f aca="false">Campaign_data!F469</f>
        <v>2109.4</v>
      </c>
    </row>
    <row r="470" customFormat="false" ht="12.8" hidden="false" customHeight="false" outlineLevel="0" collapsed="false">
      <c r="A470" s="1" t="n">
        <f aca="false">Campaign_data!A470</f>
        <v>469</v>
      </c>
      <c r="B470" s="1" t="n">
        <f aca="false">Campaign_data!D470</f>
        <v>1039.68</v>
      </c>
      <c r="C470" s="1" t="n">
        <f aca="false">Campaign_data!K470</f>
        <v>0.243709602954755</v>
      </c>
      <c r="D470" s="1" t="n">
        <f aca="false">B470</f>
        <v>1039.68</v>
      </c>
      <c r="E470" s="1" t="n">
        <f aca="false">C470</f>
        <v>0.243709602954755</v>
      </c>
      <c r="F470" s="1" t="n">
        <f aca="false">IFERROR(D470*E470,"")</f>
        <v>253.38</v>
      </c>
      <c r="G470" s="1" t="n">
        <f aca="false">Campaign_data!F470</f>
        <v>253.38</v>
      </c>
    </row>
    <row r="471" customFormat="false" ht="12.8" hidden="false" customHeight="false" outlineLevel="0" collapsed="false">
      <c r="A471" s="1" t="n">
        <f aca="false">Campaign_data!A471</f>
        <v>470</v>
      </c>
      <c r="B471" s="1" t="n">
        <f aca="false">Campaign_data!D471</f>
        <v>1048.79</v>
      </c>
      <c r="C471" s="1" t="n">
        <f aca="false">Campaign_data!K471</f>
        <v>0.275279131189275</v>
      </c>
      <c r="D471" s="1" t="n">
        <f aca="false">B471</f>
        <v>1048.79</v>
      </c>
      <c r="E471" s="1" t="n">
        <f aca="false">C471</f>
        <v>0.275279131189275</v>
      </c>
      <c r="F471" s="1" t="n">
        <f aca="false">IFERROR(D471*E471,"")</f>
        <v>288.71</v>
      </c>
      <c r="G471" s="1" t="n">
        <f aca="false">Campaign_data!F471</f>
        <v>288.71</v>
      </c>
    </row>
    <row r="472" customFormat="false" ht="12.8" hidden="false" customHeight="false" outlineLevel="0" collapsed="false">
      <c r="A472" s="1" t="n">
        <f aca="false">Campaign_data!A472</f>
        <v>471</v>
      </c>
      <c r="B472" s="1" t="n">
        <f aca="false">Campaign_data!D472</f>
        <v>581.15</v>
      </c>
      <c r="C472" s="1" t="n">
        <f aca="false">Campaign_data!K472</f>
        <v>0.102744558203562</v>
      </c>
      <c r="D472" s="1" t="n">
        <f aca="false">B472</f>
        <v>581.15</v>
      </c>
      <c r="E472" s="1" t="n">
        <f aca="false">C472</f>
        <v>0.102744558203562</v>
      </c>
      <c r="F472" s="1" t="n">
        <f aca="false">IFERROR(D472*E472,"")</f>
        <v>59.7100000000001</v>
      </c>
      <c r="G472" s="1" t="n">
        <f aca="false">Campaign_data!F472</f>
        <v>59.71</v>
      </c>
    </row>
    <row r="473" customFormat="false" ht="12.8" hidden="false" customHeight="false" outlineLevel="0" collapsed="false">
      <c r="A473" s="1" t="n">
        <f aca="false">Campaign_data!A473</f>
        <v>472</v>
      </c>
      <c r="B473" s="1" t="n">
        <f aca="false">Campaign_data!D473</f>
        <v>8284.78</v>
      </c>
      <c r="C473" s="1" t="n">
        <f aca="false">Campaign_data!K473</f>
        <v>0.578356938868624</v>
      </c>
      <c r="D473" s="1" t="n">
        <f aca="false">B473</f>
        <v>8284.78</v>
      </c>
      <c r="E473" s="1" t="n">
        <f aca="false">C473</f>
        <v>0.578356938868624</v>
      </c>
      <c r="F473" s="1" t="n">
        <f aca="false">IFERROR(D473*E473,"")</f>
        <v>4791.56</v>
      </c>
      <c r="G473" s="1" t="n">
        <f aca="false">Campaign_data!F473</f>
        <v>4791.56</v>
      </c>
    </row>
    <row r="474" customFormat="false" ht="12.8" hidden="false" customHeight="false" outlineLevel="0" collapsed="false">
      <c r="A474" s="1" t="n">
        <f aca="false">Campaign_data!A474</f>
        <v>473</v>
      </c>
      <c r="B474" s="1" t="n">
        <f aca="false">Campaign_data!D474</f>
        <v>722.56</v>
      </c>
      <c r="C474" s="1" t="n">
        <f aca="false">Campaign_data!K474</f>
        <v>0</v>
      </c>
      <c r="D474" s="1" t="n">
        <f aca="false">B474</f>
        <v>722.56</v>
      </c>
      <c r="E474" s="1" t="n">
        <f aca="false">C474</f>
        <v>0</v>
      </c>
      <c r="F474" s="1" t="n">
        <f aca="false">IFERROR(D474*E474,"")</f>
        <v>0</v>
      </c>
      <c r="G474" s="1" t="n">
        <f aca="false">Campaign_data!F474</f>
        <v>0</v>
      </c>
    </row>
    <row r="475" customFormat="false" ht="12.8" hidden="true" customHeight="false" outlineLevel="0" collapsed="false">
      <c r="A475" s="1" t="n">
        <f aca="false">Campaign_data!A475</f>
        <v>474</v>
      </c>
      <c r="B475" s="1" t="n">
        <f aca="false">Campaign_data!D475</f>
        <v>0</v>
      </c>
      <c r="C475" s="1" t="str">
        <f aca="false">Campaign_data!K475</f>
        <v/>
      </c>
      <c r="D475" s="1" t="n">
        <f aca="false">B475</f>
        <v>0</v>
      </c>
      <c r="E475" s="1" t="str">
        <f aca="false">C475</f>
        <v/>
      </c>
      <c r="F475" s="1" t="str">
        <f aca="false">IFERROR(D475*E475,"")</f>
        <v/>
      </c>
      <c r="G475" s="1" t="n">
        <f aca="false">Campaign_data!F475</f>
        <v>645.62</v>
      </c>
    </row>
    <row r="476" customFormat="false" ht="12.8" hidden="false" customHeight="false" outlineLevel="0" collapsed="false">
      <c r="A476" s="1" t="n">
        <f aca="false">Campaign_data!A476</f>
        <v>475</v>
      </c>
      <c r="B476" s="1" t="n">
        <f aca="false">Campaign_data!D476</f>
        <v>3391.85</v>
      </c>
      <c r="C476" s="1" t="n">
        <f aca="false">Campaign_data!K476</f>
        <v>1.06491737547356</v>
      </c>
      <c r="D476" s="1" t="n">
        <f aca="false">B476</f>
        <v>3391.85</v>
      </c>
      <c r="E476" s="1" t="n">
        <f aca="false">C476</f>
        <v>1.06491737547356</v>
      </c>
      <c r="F476" s="1" t="n">
        <f aca="false">IFERROR(D476*E476,"")</f>
        <v>3612.03999999999</v>
      </c>
      <c r="G476" s="1" t="n">
        <f aca="false">Campaign_data!F476</f>
        <v>3612.04</v>
      </c>
    </row>
    <row r="477" customFormat="false" ht="12.8" hidden="false" customHeight="false" outlineLevel="0" collapsed="false">
      <c r="A477" s="1" t="n">
        <f aca="false">Campaign_data!A477</f>
        <v>476</v>
      </c>
      <c r="B477" s="1" t="n">
        <f aca="false">Campaign_data!D477</f>
        <v>2921.45</v>
      </c>
      <c r="C477" s="1" t="n">
        <f aca="false">Campaign_data!K477</f>
        <v>0.768693628164097</v>
      </c>
      <c r="D477" s="1" t="n">
        <f aca="false">B477</f>
        <v>2921.45</v>
      </c>
      <c r="E477" s="1" t="n">
        <f aca="false">C477</f>
        <v>0.768693628164097</v>
      </c>
      <c r="F477" s="1" t="n">
        <f aca="false">IFERROR(D477*E477,"")</f>
        <v>2245.7</v>
      </c>
      <c r="G477" s="1" t="n">
        <f aca="false">Campaign_data!F477</f>
        <v>2245.7</v>
      </c>
    </row>
    <row r="478" customFormat="false" ht="12.8" hidden="true" customHeight="false" outlineLevel="0" collapsed="false">
      <c r="A478" s="1" t="n">
        <f aca="false">Campaign_data!A478</f>
        <v>477</v>
      </c>
      <c r="B478" s="1" t="n">
        <f aca="false">Campaign_data!D478</f>
        <v>0</v>
      </c>
      <c r="C478" s="1" t="str">
        <f aca="false">Campaign_data!K478</f>
        <v/>
      </c>
      <c r="D478" s="1" t="n">
        <f aca="false">B478</f>
        <v>0</v>
      </c>
      <c r="E478" s="1" t="str">
        <f aca="false">C478</f>
        <v/>
      </c>
      <c r="F478" s="1" t="str">
        <f aca="false">IFERROR(D478*E478,"")</f>
        <v/>
      </c>
      <c r="G478" s="1" t="n">
        <f aca="false">Campaign_data!F478</f>
        <v>1208.65</v>
      </c>
    </row>
    <row r="479" customFormat="false" ht="12.8" hidden="false" customHeight="false" outlineLevel="0" collapsed="false">
      <c r="A479" s="1" t="n">
        <f aca="false">Campaign_data!A479</f>
        <v>478</v>
      </c>
      <c r="B479" s="1" t="n">
        <f aca="false">Campaign_data!D479</f>
        <v>1896.85</v>
      </c>
      <c r="C479" s="1" t="n">
        <f aca="false">Campaign_data!K479</f>
        <v>0.18579223449403</v>
      </c>
      <c r="D479" s="1" t="n">
        <f aca="false">B479</f>
        <v>1896.85</v>
      </c>
      <c r="E479" s="1" t="n">
        <f aca="false">C479</f>
        <v>0.18579223449403</v>
      </c>
      <c r="F479" s="1" t="n">
        <f aca="false">IFERROR(D479*E479,"")</f>
        <v>352.420000000001</v>
      </c>
      <c r="G479" s="1" t="n">
        <f aca="false">Campaign_data!F479</f>
        <v>352.42</v>
      </c>
    </row>
    <row r="480" customFormat="false" ht="12.8" hidden="true" customHeight="false" outlineLevel="0" collapsed="false">
      <c r="A480" s="1" t="n">
        <f aca="false">Campaign_data!A480</f>
        <v>479</v>
      </c>
      <c r="B480" s="1" t="n">
        <f aca="false">Campaign_data!D480</f>
        <v>0</v>
      </c>
      <c r="C480" s="1" t="str">
        <f aca="false">Campaign_data!K480</f>
        <v/>
      </c>
      <c r="D480" s="1" t="n">
        <f aca="false">B480</f>
        <v>0</v>
      </c>
      <c r="E480" s="1" t="str">
        <f aca="false">C480</f>
        <v/>
      </c>
      <c r="F480" s="1" t="str">
        <f aca="false">IFERROR(D480*E480,"")</f>
        <v/>
      </c>
      <c r="G480" s="1" t="n">
        <f aca="false">Campaign_data!F480</f>
        <v>0</v>
      </c>
    </row>
    <row r="481" customFormat="false" ht="12.8" hidden="false" customHeight="false" outlineLevel="0" collapsed="false">
      <c r="A481" s="1" t="n">
        <f aca="false">Campaign_data!A481</f>
        <v>480</v>
      </c>
      <c r="B481" s="1" t="n">
        <f aca="false">Campaign_data!D481</f>
        <v>1573.1</v>
      </c>
      <c r="C481" s="1" t="n">
        <f aca="false">Campaign_data!K481</f>
        <v>0.851096560930647</v>
      </c>
      <c r="D481" s="1" t="n">
        <f aca="false">B481</f>
        <v>1573.1</v>
      </c>
      <c r="E481" s="1" t="n">
        <f aca="false">C481</f>
        <v>0.851096560930647</v>
      </c>
      <c r="F481" s="1" t="n">
        <f aca="false">IFERROR(D481*E481,"")</f>
        <v>1338.86</v>
      </c>
      <c r="G481" s="1" t="n">
        <f aca="false">Campaign_data!F481</f>
        <v>1338.86</v>
      </c>
    </row>
    <row r="482" customFormat="false" ht="12.8" hidden="false" customHeight="false" outlineLevel="0" collapsed="false">
      <c r="A482" s="1" t="n">
        <f aca="false">Campaign_data!A482</f>
        <v>481</v>
      </c>
      <c r="B482" s="1" t="n">
        <f aca="false">Campaign_data!D482</f>
        <v>3017.38</v>
      </c>
      <c r="C482" s="1" t="n">
        <f aca="false">Campaign_data!K482</f>
        <v>0.382096388257362</v>
      </c>
      <c r="D482" s="1" t="n">
        <f aca="false">B482</f>
        <v>3017.38</v>
      </c>
      <c r="E482" s="1" t="n">
        <f aca="false">C482</f>
        <v>0.382096388257362</v>
      </c>
      <c r="F482" s="1" t="n">
        <f aca="false">IFERROR(D482*E482,"")</f>
        <v>1152.93</v>
      </c>
      <c r="G482" s="1" t="n">
        <f aca="false">Campaign_data!F482</f>
        <v>1152.93</v>
      </c>
    </row>
    <row r="483" customFormat="false" ht="12.8" hidden="false" customHeight="false" outlineLevel="0" collapsed="false">
      <c r="A483" s="1" t="n">
        <f aca="false">Campaign_data!A483</f>
        <v>482</v>
      </c>
      <c r="B483" s="1" t="n">
        <f aca="false">Campaign_data!D483</f>
        <v>315.9</v>
      </c>
      <c r="C483" s="1" t="n">
        <f aca="false">Campaign_data!K483</f>
        <v>0.598385565052232</v>
      </c>
      <c r="D483" s="1" t="n">
        <f aca="false">B483</f>
        <v>315.9</v>
      </c>
      <c r="E483" s="1" t="n">
        <f aca="false">C483</f>
        <v>0.598385565052232</v>
      </c>
      <c r="F483" s="1" t="n">
        <f aca="false">IFERROR(D483*E483,"")</f>
        <v>189.03</v>
      </c>
      <c r="G483" s="1" t="n">
        <f aca="false">Campaign_data!F483</f>
        <v>189.03</v>
      </c>
    </row>
    <row r="484" customFormat="false" ht="12.8" hidden="false" customHeight="false" outlineLevel="0" collapsed="false">
      <c r="A484" s="1" t="n">
        <f aca="false">Campaign_data!A484</f>
        <v>483</v>
      </c>
      <c r="B484" s="1" t="n">
        <f aca="false">Campaign_data!D484</f>
        <v>284.63</v>
      </c>
      <c r="C484" s="1" t="n">
        <f aca="false">Campaign_data!K484</f>
        <v>0</v>
      </c>
      <c r="D484" s="1" t="n">
        <f aca="false">B484</f>
        <v>284.63</v>
      </c>
      <c r="E484" s="1" t="n">
        <f aca="false">C484</f>
        <v>0</v>
      </c>
      <c r="F484" s="1" t="n">
        <f aca="false">IFERROR(D484*E484,"")</f>
        <v>0</v>
      </c>
      <c r="G484" s="1" t="n">
        <f aca="false">Campaign_data!F484</f>
        <v>0</v>
      </c>
    </row>
    <row r="485" customFormat="false" ht="12.8" hidden="false" customHeight="false" outlineLevel="0" collapsed="false">
      <c r="A485" s="1" t="n">
        <f aca="false">Campaign_data!A485</f>
        <v>484</v>
      </c>
      <c r="B485" s="1" t="n">
        <f aca="false">Campaign_data!D485</f>
        <v>1371.92</v>
      </c>
      <c r="C485" s="1" t="n">
        <f aca="false">Campaign_data!K485</f>
        <v>0.596448772523179</v>
      </c>
      <c r="D485" s="1" t="n">
        <f aca="false">B485</f>
        <v>1371.92</v>
      </c>
      <c r="E485" s="1" t="n">
        <f aca="false">C485</f>
        <v>0.596448772523179</v>
      </c>
      <c r="F485" s="1" t="n">
        <f aca="false">IFERROR(D485*E485,"")</f>
        <v>818.28</v>
      </c>
      <c r="G485" s="1" t="n">
        <f aca="false">Campaign_data!F485</f>
        <v>818.28</v>
      </c>
    </row>
    <row r="486" customFormat="false" ht="12.8" hidden="true" customHeight="false" outlineLevel="0" collapsed="false">
      <c r="A486" s="1" t="n">
        <f aca="false">Campaign_data!A486</f>
        <v>485</v>
      </c>
      <c r="B486" s="1" t="n">
        <f aca="false">Campaign_data!D486</f>
        <v>0</v>
      </c>
      <c r="C486" s="1" t="str">
        <f aca="false">Campaign_data!K486</f>
        <v/>
      </c>
      <c r="D486" s="1" t="n">
        <f aca="false">B486</f>
        <v>0</v>
      </c>
      <c r="E486" s="1" t="str">
        <f aca="false">C486</f>
        <v/>
      </c>
      <c r="F486" s="1" t="str">
        <f aca="false">IFERROR(D486*E486,"")</f>
        <v/>
      </c>
      <c r="G486" s="1" t="n">
        <f aca="false">Campaign_data!F486</f>
        <v>0</v>
      </c>
    </row>
    <row r="487" customFormat="false" ht="12.8" hidden="true" customHeight="false" outlineLevel="0" collapsed="false">
      <c r="A487" s="1" t="n">
        <f aca="false">Campaign_data!A487</f>
        <v>486</v>
      </c>
      <c r="B487" s="1" t="n">
        <f aca="false">Campaign_data!D487</f>
        <v>0</v>
      </c>
      <c r="C487" s="1" t="str">
        <f aca="false">Campaign_data!K487</f>
        <v/>
      </c>
      <c r="D487" s="1" t="n">
        <f aca="false">B487</f>
        <v>0</v>
      </c>
      <c r="E487" s="1" t="str">
        <f aca="false">C487</f>
        <v/>
      </c>
      <c r="F487" s="1" t="str">
        <f aca="false">IFERROR(D487*E487,"")</f>
        <v/>
      </c>
      <c r="G487" s="1" t="n">
        <f aca="false">Campaign_data!F487</f>
        <v>0</v>
      </c>
    </row>
    <row r="488" customFormat="false" ht="12.8" hidden="true" customHeight="false" outlineLevel="0" collapsed="false">
      <c r="A488" s="1" t="n">
        <f aca="false">Campaign_data!A488</f>
        <v>487</v>
      </c>
      <c r="B488" s="1" t="n">
        <f aca="false">Campaign_data!D488</f>
        <v>0</v>
      </c>
      <c r="C488" s="1" t="str">
        <f aca="false">Campaign_data!K488</f>
        <v/>
      </c>
      <c r="D488" s="1" t="n">
        <f aca="false">B488</f>
        <v>0</v>
      </c>
      <c r="E488" s="1" t="str">
        <f aca="false">C488</f>
        <v/>
      </c>
      <c r="F488" s="1" t="str">
        <f aca="false">IFERROR(D488*E488,"")</f>
        <v/>
      </c>
      <c r="G488" s="1" t="n">
        <f aca="false">Campaign_data!F488</f>
        <v>4251.12</v>
      </c>
    </row>
    <row r="489" customFormat="false" ht="12.8" hidden="false" customHeight="false" outlineLevel="0" collapsed="false">
      <c r="A489" s="1" t="n">
        <f aca="false">Campaign_data!A489</f>
        <v>488</v>
      </c>
      <c r="B489" s="1" t="n">
        <f aca="false">Campaign_data!D489</f>
        <v>2824.3</v>
      </c>
      <c r="C489" s="1" t="n">
        <f aca="false">Campaign_data!K489</f>
        <v>1.00428778812449</v>
      </c>
      <c r="D489" s="1" t="n">
        <f aca="false">B489</f>
        <v>2824.3</v>
      </c>
      <c r="E489" s="1" t="n">
        <f aca="false">C489</f>
        <v>1.00428778812449</v>
      </c>
      <c r="F489" s="1" t="n">
        <f aca="false">IFERROR(D489*E489,"")</f>
        <v>2836.41</v>
      </c>
      <c r="G489" s="1" t="n">
        <f aca="false">Campaign_data!F489</f>
        <v>2836.41</v>
      </c>
    </row>
    <row r="490" customFormat="false" ht="12.8" hidden="true" customHeight="false" outlineLevel="0" collapsed="false">
      <c r="A490" s="1" t="n">
        <f aca="false">Campaign_data!A490</f>
        <v>489</v>
      </c>
      <c r="B490" s="1" t="n">
        <f aca="false">Campaign_data!D490</f>
        <v>0</v>
      </c>
      <c r="C490" s="1" t="str">
        <f aca="false">Campaign_data!K490</f>
        <v/>
      </c>
      <c r="D490" s="1" t="n">
        <f aca="false">B490</f>
        <v>0</v>
      </c>
      <c r="E490" s="1" t="str">
        <f aca="false">C490</f>
        <v/>
      </c>
      <c r="F490" s="1" t="str">
        <f aca="false">IFERROR(D490*E490,"")</f>
        <v/>
      </c>
      <c r="G490" s="1" t="n">
        <f aca="false">Campaign_data!F490</f>
        <v>0</v>
      </c>
    </row>
    <row r="491" customFormat="false" ht="12.8" hidden="true" customHeight="false" outlineLevel="0" collapsed="false">
      <c r="A491" s="1" t="n">
        <f aca="false">Campaign_data!A491</f>
        <v>490</v>
      </c>
      <c r="B491" s="1" t="n">
        <f aca="false">Campaign_data!D491</f>
        <v>0</v>
      </c>
      <c r="C491" s="1" t="str">
        <f aca="false">Campaign_data!K491</f>
        <v/>
      </c>
      <c r="D491" s="1" t="n">
        <f aca="false">B491</f>
        <v>0</v>
      </c>
      <c r="E491" s="1" t="str">
        <f aca="false">C491</f>
        <v/>
      </c>
      <c r="F491" s="1" t="str">
        <f aca="false">IFERROR(D491*E491,"")</f>
        <v/>
      </c>
      <c r="G491" s="1" t="n">
        <f aca="false">Campaign_data!F491</f>
        <v>0</v>
      </c>
    </row>
    <row r="492" customFormat="false" ht="12.8" hidden="true" customHeight="false" outlineLevel="0" collapsed="false">
      <c r="A492" s="1" t="n">
        <f aca="false">Campaign_data!A492</f>
        <v>491</v>
      </c>
      <c r="B492" s="1" t="n">
        <f aca="false">Campaign_data!D492</f>
        <v>0</v>
      </c>
      <c r="C492" s="1" t="str">
        <f aca="false">Campaign_data!K492</f>
        <v/>
      </c>
      <c r="D492" s="1" t="n">
        <f aca="false">B492</f>
        <v>0</v>
      </c>
      <c r="E492" s="1" t="str">
        <f aca="false">C492</f>
        <v/>
      </c>
      <c r="F492" s="1" t="str">
        <f aca="false">IFERROR(D492*E492,"")</f>
        <v/>
      </c>
      <c r="G492" s="1" t="n">
        <f aca="false">Campaign_data!F492</f>
        <v>0</v>
      </c>
    </row>
    <row r="493" customFormat="false" ht="12.8" hidden="false" customHeight="false" outlineLevel="0" collapsed="false">
      <c r="A493" s="1" t="n">
        <f aca="false">Campaign_data!A493</f>
        <v>492</v>
      </c>
      <c r="B493" s="1" t="n">
        <f aca="false">Campaign_data!D493</f>
        <v>651.66</v>
      </c>
      <c r="C493" s="1" t="n">
        <f aca="false">Campaign_data!K493</f>
        <v>0.332167080993156</v>
      </c>
      <c r="D493" s="1" t="n">
        <f aca="false">B493</f>
        <v>651.66</v>
      </c>
      <c r="E493" s="1" t="n">
        <f aca="false">C493</f>
        <v>0.332167080993156</v>
      </c>
      <c r="F493" s="1" t="n">
        <f aca="false">IFERROR(D493*E493,"")</f>
        <v>216.46</v>
      </c>
      <c r="G493" s="1" t="n">
        <f aca="false">Campaign_data!F493</f>
        <v>216.46</v>
      </c>
    </row>
    <row r="494" customFormat="false" ht="12.8" hidden="false" customHeight="false" outlineLevel="0" collapsed="false">
      <c r="A494" s="1" t="n">
        <f aca="false">Campaign_data!A494</f>
        <v>493</v>
      </c>
      <c r="B494" s="1" t="n">
        <f aca="false">Campaign_data!D494</f>
        <v>205.17</v>
      </c>
      <c r="C494" s="1" t="n">
        <f aca="false">Campaign_data!K494</f>
        <v>0.735975045084564</v>
      </c>
      <c r="D494" s="1" t="n">
        <f aca="false">B494</f>
        <v>205.17</v>
      </c>
      <c r="E494" s="1" t="n">
        <f aca="false">C494</f>
        <v>0.735975045084564</v>
      </c>
      <c r="F494" s="1" t="n">
        <f aca="false">IFERROR(D494*E494,"")</f>
        <v>151</v>
      </c>
      <c r="G494" s="1" t="n">
        <f aca="false">Campaign_data!F494</f>
        <v>151</v>
      </c>
    </row>
    <row r="495" customFormat="false" ht="12.8" hidden="true" customHeight="false" outlineLevel="0" collapsed="false">
      <c r="A495" s="1" t="n">
        <f aca="false">Campaign_data!A495</f>
        <v>494</v>
      </c>
      <c r="B495" s="1" t="n">
        <f aca="false">Campaign_data!D495</f>
        <v>0</v>
      </c>
      <c r="C495" s="1" t="str">
        <f aca="false">Campaign_data!K495</f>
        <v/>
      </c>
      <c r="D495" s="1" t="n">
        <f aca="false">B495</f>
        <v>0</v>
      </c>
      <c r="E495" s="1" t="str">
        <f aca="false">C495</f>
        <v/>
      </c>
      <c r="F495" s="1" t="str">
        <f aca="false">IFERROR(D495*E495,"")</f>
        <v/>
      </c>
      <c r="G495" s="1" t="n">
        <f aca="false">Campaign_data!F495</f>
        <v>0</v>
      </c>
    </row>
    <row r="496" customFormat="false" ht="12.8" hidden="false" customHeight="false" outlineLevel="0" collapsed="false">
      <c r="A496" s="1" t="n">
        <f aca="false">Campaign_data!A496</f>
        <v>495</v>
      </c>
      <c r="B496" s="1" t="n">
        <f aca="false">Campaign_data!D496</f>
        <v>2121.55</v>
      </c>
      <c r="C496" s="1" t="n">
        <f aca="false">Campaign_data!K496</f>
        <v>0.385967806556527</v>
      </c>
      <c r="D496" s="1" t="n">
        <f aca="false">B496</f>
        <v>2121.55</v>
      </c>
      <c r="E496" s="1" t="n">
        <f aca="false">C496</f>
        <v>0.385967806556527</v>
      </c>
      <c r="F496" s="1" t="n">
        <f aca="false">IFERROR(D496*E496,"")</f>
        <v>818.85</v>
      </c>
      <c r="G496" s="1" t="n">
        <f aca="false">Campaign_data!F496</f>
        <v>818.85</v>
      </c>
    </row>
    <row r="497" customFormat="false" ht="12.8" hidden="false" customHeight="false" outlineLevel="0" collapsed="false">
      <c r="A497" s="1" t="n">
        <f aca="false">Campaign_data!A497</f>
        <v>496</v>
      </c>
      <c r="B497" s="1" t="n">
        <f aca="false">Campaign_data!D497</f>
        <v>1494.92</v>
      </c>
      <c r="C497" s="1" t="n">
        <f aca="false">Campaign_data!K497</f>
        <v>0.428718593637118</v>
      </c>
      <c r="D497" s="1" t="n">
        <f aca="false">B497</f>
        <v>1494.92</v>
      </c>
      <c r="E497" s="1" t="n">
        <f aca="false">C497</f>
        <v>0.428718593637118</v>
      </c>
      <c r="F497" s="1" t="n">
        <f aca="false">IFERROR(D497*E497,"")</f>
        <v>640.9</v>
      </c>
      <c r="G497" s="1" t="n">
        <f aca="false">Campaign_data!F497</f>
        <v>640.9</v>
      </c>
    </row>
    <row r="498" customFormat="false" ht="12.8" hidden="false" customHeight="false" outlineLevel="0" collapsed="false">
      <c r="A498" s="1" t="n">
        <f aca="false">Campaign_data!A498</f>
        <v>497</v>
      </c>
      <c r="B498" s="1" t="n">
        <f aca="false">Campaign_data!D498</f>
        <v>1420.82</v>
      </c>
      <c r="C498" s="1" t="n">
        <f aca="false">Campaign_data!K498</f>
        <v>0.503512056418125</v>
      </c>
      <c r="D498" s="1" t="n">
        <f aca="false">B498</f>
        <v>1420.82</v>
      </c>
      <c r="E498" s="1" t="n">
        <f aca="false">C498</f>
        <v>0.503512056418125</v>
      </c>
      <c r="F498" s="1" t="n">
        <f aca="false">IFERROR(D498*E498,"")</f>
        <v>715.4</v>
      </c>
      <c r="G498" s="1" t="n">
        <f aca="false">Campaign_data!F498</f>
        <v>715.4</v>
      </c>
    </row>
    <row r="499" customFormat="false" ht="12.8" hidden="true" customHeight="false" outlineLevel="0" collapsed="false">
      <c r="A499" s="1" t="n">
        <f aca="false">Campaign_data!A499</f>
        <v>498</v>
      </c>
      <c r="B499" s="1" t="n">
        <f aca="false">Campaign_data!D499</f>
        <v>0</v>
      </c>
      <c r="C499" s="1" t="str">
        <f aca="false">Campaign_data!K499</f>
        <v/>
      </c>
      <c r="D499" s="1" t="n">
        <f aca="false">B499</f>
        <v>0</v>
      </c>
      <c r="E499" s="1" t="str">
        <f aca="false">C499</f>
        <v/>
      </c>
      <c r="F499" s="1" t="str">
        <f aca="false">IFERROR(D499*E499,"")</f>
        <v/>
      </c>
      <c r="G499" s="1" t="n">
        <f aca="false">Campaign_data!F499</f>
        <v>3909.02</v>
      </c>
    </row>
    <row r="500" customFormat="false" ht="12.8" hidden="true" customHeight="false" outlineLevel="0" collapsed="false">
      <c r="A500" s="1" t="n">
        <f aca="false">Campaign_data!A500</f>
        <v>499</v>
      </c>
      <c r="B500" s="1" t="n">
        <f aca="false">Campaign_data!D500</f>
        <v>0</v>
      </c>
      <c r="C500" s="1" t="str">
        <f aca="false">Campaign_data!K500</f>
        <v/>
      </c>
      <c r="D500" s="1" t="n">
        <f aca="false">B500</f>
        <v>0</v>
      </c>
      <c r="E500" s="1" t="str">
        <f aca="false">C500</f>
        <v/>
      </c>
      <c r="F500" s="1" t="str">
        <f aca="false">IFERROR(D500*E500,"")</f>
        <v/>
      </c>
      <c r="G500" s="1" t="n">
        <f aca="false">Campaign_data!F500</f>
        <v>0</v>
      </c>
    </row>
    <row r="501" customFormat="false" ht="12.8" hidden="true" customHeight="false" outlineLevel="0" collapsed="false">
      <c r="A501" s="1" t="n">
        <f aca="false">Campaign_data!A501</f>
        <v>500</v>
      </c>
      <c r="B501" s="1" t="n">
        <f aca="false">Campaign_data!D501</f>
        <v>0</v>
      </c>
      <c r="C501" s="1" t="str">
        <f aca="false">Campaign_data!K501</f>
        <v/>
      </c>
      <c r="D501" s="1" t="n">
        <f aca="false">B501</f>
        <v>0</v>
      </c>
      <c r="E501" s="1" t="str">
        <f aca="false">C501</f>
        <v/>
      </c>
      <c r="F501" s="1" t="str">
        <f aca="false">IFERROR(D501*E501,"")</f>
        <v/>
      </c>
      <c r="G501" s="1" t="n">
        <f aca="false">Campaign_data!F501</f>
        <v>0</v>
      </c>
    </row>
    <row r="502" customFormat="false" ht="12.8" hidden="true" customHeight="false" outlineLevel="0" collapsed="false">
      <c r="A502" s="1" t="n">
        <f aca="false">Campaign_data!A502</f>
        <v>501</v>
      </c>
      <c r="B502" s="1" t="n">
        <f aca="false">Campaign_data!D502</f>
        <v>0</v>
      </c>
      <c r="C502" s="1" t="str">
        <f aca="false">Campaign_data!K502</f>
        <v/>
      </c>
      <c r="D502" s="1" t="n">
        <f aca="false">B502</f>
        <v>0</v>
      </c>
      <c r="E502" s="1" t="str">
        <f aca="false">C502</f>
        <v/>
      </c>
      <c r="F502" s="1" t="str">
        <f aca="false">IFERROR(D502*E502,"")</f>
        <v/>
      </c>
      <c r="G502" s="1" t="n">
        <f aca="false">Campaign_data!F502</f>
        <v>0</v>
      </c>
    </row>
    <row r="503" customFormat="false" ht="12.8" hidden="true" customHeight="false" outlineLevel="0" collapsed="false">
      <c r="A503" s="1" t="n">
        <f aca="false">Campaign_data!A503</f>
        <v>502</v>
      </c>
      <c r="B503" s="1" t="n">
        <f aca="false">Campaign_data!D503</f>
        <v>0</v>
      </c>
      <c r="C503" s="1" t="str">
        <f aca="false">Campaign_data!K503</f>
        <v/>
      </c>
      <c r="D503" s="1" t="n">
        <f aca="false">B503</f>
        <v>0</v>
      </c>
      <c r="E503" s="1" t="str">
        <f aca="false">C503</f>
        <v/>
      </c>
      <c r="F503" s="1" t="str">
        <f aca="false">IFERROR(D503*E503,"")</f>
        <v/>
      </c>
      <c r="G503" s="1" t="n">
        <f aca="false">Campaign_data!F503</f>
        <v>43.19</v>
      </c>
    </row>
    <row r="504" customFormat="false" ht="12.8" hidden="true" customHeight="false" outlineLevel="0" collapsed="false">
      <c r="A504" s="1" t="n">
        <f aca="false">Campaign_data!A504</f>
        <v>503</v>
      </c>
      <c r="B504" s="1" t="n">
        <f aca="false">Campaign_data!D504</f>
        <v>0</v>
      </c>
      <c r="C504" s="1" t="str">
        <f aca="false">Campaign_data!K504</f>
        <v/>
      </c>
      <c r="D504" s="1" t="n">
        <f aca="false">B504</f>
        <v>0</v>
      </c>
      <c r="E504" s="1" t="str">
        <f aca="false">C504</f>
        <v/>
      </c>
      <c r="F504" s="1" t="str">
        <f aca="false">IFERROR(D504*E504,"")</f>
        <v/>
      </c>
      <c r="G504" s="1" t="n">
        <f aca="false">Campaign_data!F504</f>
        <v>383.38</v>
      </c>
    </row>
    <row r="505" customFormat="false" ht="12.8" hidden="true" customHeight="false" outlineLevel="0" collapsed="false">
      <c r="A505" s="1" t="n">
        <f aca="false">Campaign_data!A505</f>
        <v>504</v>
      </c>
      <c r="B505" s="1" t="n">
        <f aca="false">Campaign_data!D505</f>
        <v>0</v>
      </c>
      <c r="C505" s="1" t="str">
        <f aca="false">Campaign_data!K505</f>
        <v/>
      </c>
      <c r="D505" s="1" t="n">
        <f aca="false">B505</f>
        <v>0</v>
      </c>
      <c r="E505" s="1" t="str">
        <f aca="false">C505</f>
        <v/>
      </c>
      <c r="F505" s="1" t="str">
        <f aca="false">IFERROR(D505*E505,"")</f>
        <v/>
      </c>
      <c r="G505" s="1" t="n">
        <f aca="false">Campaign_data!F505</f>
        <v>0</v>
      </c>
    </row>
    <row r="506" customFormat="false" ht="12.8" hidden="false" customHeight="false" outlineLevel="0" collapsed="false">
      <c r="A506" s="1" t="n">
        <f aca="false">Campaign_data!A506</f>
        <v>505</v>
      </c>
      <c r="B506" s="1" t="n">
        <f aca="false">Campaign_data!D506</f>
        <v>245.89</v>
      </c>
      <c r="C506" s="1" t="n">
        <f aca="false">Campaign_data!K506</f>
        <v>0</v>
      </c>
      <c r="D506" s="1" t="n">
        <f aca="false">B506</f>
        <v>245.89</v>
      </c>
      <c r="E506" s="1" t="n">
        <f aca="false">C506</f>
        <v>0</v>
      </c>
      <c r="F506" s="1" t="n">
        <f aca="false">IFERROR(D506*E506,"")</f>
        <v>0</v>
      </c>
      <c r="G506" s="1" t="n">
        <f aca="false">Campaign_data!F506</f>
        <v>0</v>
      </c>
    </row>
    <row r="507" customFormat="false" ht="12.8" hidden="false" customHeight="false" outlineLevel="0" collapsed="false">
      <c r="A507" s="1" t="n">
        <f aca="false">Campaign_data!A507</f>
        <v>506</v>
      </c>
      <c r="B507" s="1" t="n">
        <f aca="false">Campaign_data!D507</f>
        <v>2556.27</v>
      </c>
      <c r="C507" s="1" t="n">
        <f aca="false">Campaign_data!K507</f>
        <v>0.372038164982572</v>
      </c>
      <c r="D507" s="1" t="n">
        <f aca="false">B507</f>
        <v>2556.27</v>
      </c>
      <c r="E507" s="1" t="n">
        <f aca="false">C507</f>
        <v>0.372038164982572</v>
      </c>
      <c r="F507" s="1" t="n">
        <f aca="false">IFERROR(D507*E507,"")</f>
        <v>951.029999999999</v>
      </c>
      <c r="G507" s="1" t="n">
        <f aca="false">Campaign_data!F507</f>
        <v>951.03</v>
      </c>
    </row>
    <row r="508" customFormat="false" ht="12.8" hidden="true" customHeight="false" outlineLevel="0" collapsed="false">
      <c r="A508" s="1" t="n">
        <f aca="false">Campaign_data!A508</f>
        <v>507</v>
      </c>
      <c r="B508" s="1" t="n">
        <f aca="false">Campaign_data!D508</f>
        <v>0</v>
      </c>
      <c r="C508" s="1" t="str">
        <f aca="false">Campaign_data!K508</f>
        <v/>
      </c>
      <c r="D508" s="1" t="n">
        <f aca="false">B508</f>
        <v>0</v>
      </c>
      <c r="E508" s="1" t="str">
        <f aca="false">C508</f>
        <v/>
      </c>
      <c r="F508" s="1" t="str">
        <f aca="false">IFERROR(D508*E508,"")</f>
        <v/>
      </c>
      <c r="G508" s="1" t="n">
        <f aca="false">Campaign_data!F508</f>
        <v>1245.95</v>
      </c>
    </row>
    <row r="509" customFormat="false" ht="12.8" hidden="true" customHeight="false" outlineLevel="0" collapsed="false">
      <c r="A509" s="1" t="n">
        <f aca="false">Campaign_data!A509</f>
        <v>508</v>
      </c>
      <c r="B509" s="1" t="n">
        <f aca="false">Campaign_data!D509</f>
        <v>0</v>
      </c>
      <c r="C509" s="1" t="str">
        <f aca="false">Campaign_data!K509</f>
        <v/>
      </c>
      <c r="D509" s="1" t="n">
        <f aca="false">B509</f>
        <v>0</v>
      </c>
      <c r="E509" s="1" t="str">
        <f aca="false">C509</f>
        <v/>
      </c>
      <c r="F509" s="1" t="str">
        <f aca="false">IFERROR(D509*E509,"")</f>
        <v/>
      </c>
      <c r="G509" s="1" t="n">
        <f aca="false">Campaign_data!F509</f>
        <v>0</v>
      </c>
    </row>
    <row r="510" customFormat="false" ht="12.8" hidden="false" customHeight="false" outlineLevel="0" collapsed="false">
      <c r="A510" s="1" t="n">
        <f aca="false">Campaign_data!A510</f>
        <v>509</v>
      </c>
      <c r="B510" s="1" t="n">
        <f aca="false">Campaign_data!D510</f>
        <v>2813.54</v>
      </c>
      <c r="C510" s="1" t="n">
        <f aca="false">Campaign_data!K510</f>
        <v>0.376035172771668</v>
      </c>
      <c r="D510" s="1" t="n">
        <f aca="false">B510</f>
        <v>2813.54</v>
      </c>
      <c r="E510" s="1" t="n">
        <f aca="false">C510</f>
        <v>0.376035172771668</v>
      </c>
      <c r="F510" s="1" t="n">
        <f aca="false">IFERROR(D510*E510,"")</f>
        <v>1057.99</v>
      </c>
      <c r="G510" s="1" t="n">
        <f aca="false">Campaign_data!F510</f>
        <v>1057.99</v>
      </c>
    </row>
    <row r="511" customFormat="false" ht="12.8" hidden="true" customHeight="false" outlineLevel="0" collapsed="false">
      <c r="A511" s="1" t="n">
        <f aca="false">Campaign_data!A511</f>
        <v>510</v>
      </c>
      <c r="B511" s="1" t="n">
        <f aca="false">Campaign_data!D511</f>
        <v>0</v>
      </c>
      <c r="C511" s="1" t="str">
        <f aca="false">Campaign_data!K511</f>
        <v/>
      </c>
      <c r="D511" s="1" t="n">
        <f aca="false">B511</f>
        <v>0</v>
      </c>
      <c r="E511" s="1" t="str">
        <f aca="false">C511</f>
        <v/>
      </c>
      <c r="F511" s="1" t="str">
        <f aca="false">IFERROR(D511*E511,"")</f>
        <v/>
      </c>
      <c r="G511" s="1" t="n">
        <f aca="false">Campaign_data!F511</f>
        <v>0</v>
      </c>
    </row>
    <row r="512" customFormat="false" ht="12.8" hidden="true" customHeight="false" outlineLevel="0" collapsed="false">
      <c r="A512" s="1" t="n">
        <f aca="false">Campaign_data!A512</f>
        <v>511</v>
      </c>
      <c r="B512" s="1" t="n">
        <f aca="false">Campaign_data!D512</f>
        <v>0</v>
      </c>
      <c r="C512" s="1" t="str">
        <f aca="false">Campaign_data!K512</f>
        <v/>
      </c>
      <c r="D512" s="1" t="n">
        <f aca="false">B512</f>
        <v>0</v>
      </c>
      <c r="E512" s="1" t="str">
        <f aca="false">C512</f>
        <v/>
      </c>
      <c r="F512" s="1" t="str">
        <f aca="false">IFERROR(D512*E512,"")</f>
        <v/>
      </c>
      <c r="G512" s="1" t="n">
        <f aca="false">Campaign_data!F512</f>
        <v>0</v>
      </c>
    </row>
    <row r="513" customFormat="false" ht="12.8" hidden="true" customHeight="false" outlineLevel="0" collapsed="false">
      <c r="A513" s="1" t="n">
        <f aca="false">Campaign_data!A513</f>
        <v>512</v>
      </c>
      <c r="B513" s="1" t="n">
        <f aca="false">Campaign_data!D513</f>
        <v>0</v>
      </c>
      <c r="C513" s="1" t="str">
        <f aca="false">Campaign_data!K513</f>
        <v/>
      </c>
      <c r="D513" s="1" t="n">
        <f aca="false">B513</f>
        <v>0</v>
      </c>
      <c r="E513" s="1" t="str">
        <f aca="false">C513</f>
        <v/>
      </c>
      <c r="F513" s="1" t="str">
        <f aca="false">IFERROR(D513*E513,"")</f>
        <v/>
      </c>
      <c r="G513" s="1" t="n">
        <f aca="false">Campaign_data!F513</f>
        <v>122.43</v>
      </c>
    </row>
    <row r="514" customFormat="false" ht="12.8" hidden="true" customHeight="false" outlineLevel="0" collapsed="false">
      <c r="A514" s="1" t="n">
        <f aca="false">Campaign_data!A514</f>
        <v>513</v>
      </c>
      <c r="B514" s="1" t="n">
        <f aca="false">Campaign_data!D514</f>
        <v>0</v>
      </c>
      <c r="C514" s="1" t="str">
        <f aca="false">Campaign_data!K514</f>
        <v/>
      </c>
      <c r="D514" s="1" t="n">
        <f aca="false">B514</f>
        <v>0</v>
      </c>
      <c r="E514" s="1" t="str">
        <f aca="false">C514</f>
        <v/>
      </c>
      <c r="F514" s="1" t="str">
        <f aca="false">IFERROR(D514*E514,"")</f>
        <v/>
      </c>
      <c r="G514" s="1" t="n">
        <f aca="false">Campaign_data!F514</f>
        <v>0</v>
      </c>
    </row>
    <row r="515" customFormat="false" ht="12.8" hidden="false" customHeight="false" outlineLevel="0" collapsed="false">
      <c r="A515" s="1" t="n">
        <f aca="false">Campaign_data!A515</f>
        <v>514</v>
      </c>
      <c r="B515" s="1" t="n">
        <f aca="false">Campaign_data!D515</f>
        <v>902.25</v>
      </c>
      <c r="C515" s="1" t="n">
        <f aca="false">Campaign_data!K515</f>
        <v>0.452912164034359</v>
      </c>
      <c r="D515" s="1" t="n">
        <f aca="false">B515</f>
        <v>902.25</v>
      </c>
      <c r="E515" s="1" t="n">
        <f aca="false">C515</f>
        <v>0.452912164034359</v>
      </c>
      <c r="F515" s="1" t="n">
        <f aca="false">IFERROR(D515*E515,"")</f>
        <v>408.64</v>
      </c>
      <c r="G515" s="1" t="n">
        <f aca="false">Campaign_data!F515</f>
        <v>408.64</v>
      </c>
    </row>
    <row r="516" customFormat="false" ht="12.8" hidden="true" customHeight="false" outlineLevel="0" collapsed="false">
      <c r="A516" s="1" t="n">
        <f aca="false">Campaign_data!A516</f>
        <v>515</v>
      </c>
      <c r="B516" s="1" t="n">
        <f aca="false">Campaign_data!D516</f>
        <v>0</v>
      </c>
      <c r="C516" s="1" t="str">
        <f aca="false">Campaign_data!K516</f>
        <v/>
      </c>
      <c r="D516" s="1" t="n">
        <f aca="false">B516</f>
        <v>0</v>
      </c>
      <c r="E516" s="1" t="str">
        <f aca="false">C516</f>
        <v/>
      </c>
      <c r="F516" s="1" t="str">
        <f aca="false">IFERROR(D516*E516,"")</f>
        <v/>
      </c>
      <c r="G516" s="1" t="n">
        <f aca="false">Campaign_data!F516</f>
        <v>0</v>
      </c>
    </row>
    <row r="517" customFormat="false" ht="12.8" hidden="false" customHeight="false" outlineLevel="0" collapsed="false">
      <c r="A517" s="1" t="n">
        <f aca="false">Campaign_data!A517</f>
        <v>516</v>
      </c>
      <c r="B517" s="1" t="n">
        <f aca="false">Campaign_data!D517</f>
        <v>200.52</v>
      </c>
      <c r="C517" s="1" t="n">
        <f aca="false">Campaign_data!K517</f>
        <v>0.737183323359266</v>
      </c>
      <c r="D517" s="1" t="n">
        <f aca="false">B517</f>
        <v>200.52</v>
      </c>
      <c r="E517" s="1" t="n">
        <f aca="false">C517</f>
        <v>0.737183323359266</v>
      </c>
      <c r="F517" s="1" t="n">
        <f aca="false">IFERROR(D517*E517,"")</f>
        <v>147.82</v>
      </c>
      <c r="G517" s="1" t="n">
        <f aca="false">Campaign_data!F517</f>
        <v>147.82</v>
      </c>
    </row>
    <row r="518" customFormat="false" ht="12.8" hidden="true" customHeight="false" outlineLevel="0" collapsed="false">
      <c r="A518" s="1" t="n">
        <f aca="false">Campaign_data!A518</f>
        <v>517</v>
      </c>
      <c r="B518" s="1" t="n">
        <f aca="false">Campaign_data!D518</f>
        <v>0</v>
      </c>
      <c r="C518" s="1" t="str">
        <f aca="false">Campaign_data!K518</f>
        <v/>
      </c>
      <c r="D518" s="1" t="n">
        <f aca="false">B518</f>
        <v>0</v>
      </c>
      <c r="E518" s="1" t="str">
        <f aca="false">C518</f>
        <v/>
      </c>
      <c r="F518" s="1" t="str">
        <f aca="false">IFERROR(D518*E518,"")</f>
        <v/>
      </c>
      <c r="G518" s="1" t="n">
        <f aca="false">Campaign_data!F518</f>
        <v>0</v>
      </c>
    </row>
    <row r="519" customFormat="false" ht="12.8" hidden="false" customHeight="false" outlineLevel="0" collapsed="false">
      <c r="A519" s="1" t="n">
        <f aca="false">Campaign_data!A519</f>
        <v>518</v>
      </c>
      <c r="B519" s="1" t="n">
        <f aca="false">Campaign_data!D519</f>
        <v>318.32</v>
      </c>
      <c r="C519" s="1" t="n">
        <f aca="false">Campaign_data!K519</f>
        <v>0</v>
      </c>
      <c r="D519" s="1" t="n">
        <f aca="false">B519</f>
        <v>318.32</v>
      </c>
      <c r="E519" s="1" t="n">
        <f aca="false">C519</f>
        <v>0</v>
      </c>
      <c r="F519" s="1" t="n">
        <f aca="false">IFERROR(D519*E519,"")</f>
        <v>0</v>
      </c>
      <c r="G519" s="1" t="n">
        <f aca="false">Campaign_data!F519</f>
        <v>0</v>
      </c>
    </row>
    <row r="520" customFormat="false" ht="12.8" hidden="false" customHeight="false" outlineLevel="0" collapsed="false">
      <c r="A520" s="1" t="n">
        <f aca="false">Campaign_data!A520</f>
        <v>519</v>
      </c>
      <c r="B520" s="1" t="n">
        <f aca="false">Campaign_data!D520</f>
        <v>2515.64</v>
      </c>
      <c r="C520" s="1" t="n">
        <f aca="false">Campaign_data!K520</f>
        <v>0.207247459890922</v>
      </c>
      <c r="D520" s="1" t="n">
        <f aca="false">B520</f>
        <v>2515.64</v>
      </c>
      <c r="E520" s="1" t="n">
        <f aca="false">C520</f>
        <v>0.207247459890922</v>
      </c>
      <c r="F520" s="1" t="n">
        <f aca="false">IFERROR(D520*E520,"")</f>
        <v>521.359999999999</v>
      </c>
      <c r="G520" s="1" t="n">
        <f aca="false">Campaign_data!F520</f>
        <v>521.36</v>
      </c>
    </row>
    <row r="521" customFormat="false" ht="12.8" hidden="false" customHeight="false" outlineLevel="0" collapsed="false">
      <c r="A521" s="1" t="n">
        <f aca="false">Campaign_data!A521</f>
        <v>520</v>
      </c>
      <c r="B521" s="1" t="n">
        <f aca="false">Campaign_data!D521</f>
        <v>1354.15</v>
      </c>
      <c r="C521" s="1" t="n">
        <f aca="false">Campaign_data!K521</f>
        <v>0.403315733116715</v>
      </c>
      <c r="D521" s="1" t="n">
        <f aca="false">B521</f>
        <v>1354.15</v>
      </c>
      <c r="E521" s="1" t="n">
        <f aca="false">C521</f>
        <v>0.403315733116715</v>
      </c>
      <c r="F521" s="1" t="n">
        <f aca="false">IFERROR(D521*E521,"")</f>
        <v>546.15</v>
      </c>
      <c r="G521" s="1" t="n">
        <f aca="false">Campaign_data!F521</f>
        <v>546.15</v>
      </c>
    </row>
    <row r="522" customFormat="false" ht="12.8" hidden="false" customHeight="false" outlineLevel="0" collapsed="false">
      <c r="A522" s="1" t="n">
        <f aca="false">Campaign_data!A522</f>
        <v>521</v>
      </c>
      <c r="B522" s="1" t="n">
        <f aca="false">Campaign_data!D522</f>
        <v>200.38</v>
      </c>
      <c r="C522" s="1" t="n">
        <f aca="false">Campaign_data!K522</f>
        <v>0</v>
      </c>
      <c r="D522" s="1" t="n">
        <f aca="false">B522</f>
        <v>200.38</v>
      </c>
      <c r="E522" s="1" t="n">
        <f aca="false">C522</f>
        <v>0</v>
      </c>
      <c r="F522" s="1" t="n">
        <f aca="false">IFERROR(D522*E522,"")</f>
        <v>0</v>
      </c>
      <c r="G522" s="1" t="n">
        <f aca="false">Campaign_data!F522</f>
        <v>0</v>
      </c>
    </row>
    <row r="523" customFormat="false" ht="12.8" hidden="false" customHeight="false" outlineLevel="0" collapsed="false">
      <c r="A523" s="1" t="n">
        <f aca="false">Campaign_data!A523</f>
        <v>522</v>
      </c>
      <c r="B523" s="1" t="n">
        <f aca="false">Campaign_data!D523</f>
        <v>4865.47</v>
      </c>
      <c r="C523" s="1" t="n">
        <f aca="false">Campaign_data!K523</f>
        <v>0.878605766760457</v>
      </c>
      <c r="D523" s="1" t="n">
        <f aca="false">B523</f>
        <v>4865.47</v>
      </c>
      <c r="E523" s="1" t="n">
        <f aca="false">C523</f>
        <v>0.878605766760457</v>
      </c>
      <c r="F523" s="1" t="n">
        <f aca="false">IFERROR(D523*E523,"")</f>
        <v>4274.83</v>
      </c>
      <c r="G523" s="1" t="n">
        <f aca="false">Campaign_data!F523</f>
        <v>4274.83</v>
      </c>
    </row>
    <row r="524" customFormat="false" ht="12.8" hidden="false" customHeight="false" outlineLevel="0" collapsed="false">
      <c r="A524" s="1" t="n">
        <f aca="false">Campaign_data!A524</f>
        <v>523</v>
      </c>
      <c r="B524" s="1" t="n">
        <f aca="false">Campaign_data!D524</f>
        <v>4722.75</v>
      </c>
      <c r="C524" s="1" t="n">
        <f aca="false">Campaign_data!K524</f>
        <v>0.592110528823249</v>
      </c>
      <c r="D524" s="1" t="n">
        <f aca="false">B524</f>
        <v>4722.75</v>
      </c>
      <c r="E524" s="1" t="n">
        <f aca="false">C524</f>
        <v>0.592110528823249</v>
      </c>
      <c r="F524" s="1" t="n">
        <f aca="false">IFERROR(D524*E524,"")</f>
        <v>2796.39</v>
      </c>
      <c r="G524" s="1" t="n">
        <f aca="false">Campaign_data!F524</f>
        <v>2796.39</v>
      </c>
    </row>
    <row r="525" customFormat="false" ht="12.8" hidden="true" customHeight="false" outlineLevel="0" collapsed="false">
      <c r="A525" s="1" t="n">
        <f aca="false">Campaign_data!A525</f>
        <v>524</v>
      </c>
      <c r="B525" s="1" t="n">
        <f aca="false">Campaign_data!D525</f>
        <v>0</v>
      </c>
      <c r="C525" s="1" t="str">
        <f aca="false">Campaign_data!K525</f>
        <v/>
      </c>
      <c r="D525" s="1" t="n">
        <f aca="false">B525</f>
        <v>0</v>
      </c>
      <c r="E525" s="1" t="str">
        <f aca="false">C525</f>
        <v/>
      </c>
      <c r="F525" s="1" t="str">
        <f aca="false">IFERROR(D525*E525,"")</f>
        <v/>
      </c>
      <c r="G525" s="1" t="n">
        <f aca="false">Campaign_data!F525</f>
        <v>0</v>
      </c>
    </row>
    <row r="526" customFormat="false" ht="12.8" hidden="false" customHeight="false" outlineLevel="0" collapsed="false">
      <c r="A526" s="1" t="n">
        <f aca="false">Campaign_data!A526</f>
        <v>525</v>
      </c>
      <c r="B526" s="1" t="n">
        <f aca="false">Campaign_data!D526</f>
        <v>646.41</v>
      </c>
      <c r="C526" s="1" t="n">
        <f aca="false">Campaign_data!K526</f>
        <v>1.02951687009793</v>
      </c>
      <c r="D526" s="1" t="n">
        <f aca="false">B526</f>
        <v>646.41</v>
      </c>
      <c r="E526" s="1" t="n">
        <f aca="false">C526</f>
        <v>1.02951687009793</v>
      </c>
      <c r="F526" s="1" t="n">
        <f aca="false">IFERROR(D526*E526,"")</f>
        <v>665.490000000003</v>
      </c>
      <c r="G526" s="1" t="n">
        <f aca="false">Campaign_data!F526</f>
        <v>665.49</v>
      </c>
    </row>
    <row r="527" customFormat="false" ht="12.8" hidden="false" customHeight="false" outlineLevel="0" collapsed="false">
      <c r="A527" s="1" t="n">
        <f aca="false">Campaign_data!A527</f>
        <v>526</v>
      </c>
      <c r="B527" s="1" t="n">
        <f aca="false">Campaign_data!D527</f>
        <v>238.15</v>
      </c>
      <c r="C527" s="1" t="n">
        <f aca="false">Campaign_data!K527</f>
        <v>0.304471971446567</v>
      </c>
      <c r="D527" s="1" t="n">
        <f aca="false">B527</f>
        <v>238.15</v>
      </c>
      <c r="E527" s="1" t="n">
        <f aca="false">C527</f>
        <v>0.304471971446567</v>
      </c>
      <c r="F527" s="1" t="n">
        <f aca="false">IFERROR(D527*E527,"")</f>
        <v>72.5099999999999</v>
      </c>
      <c r="G527" s="1" t="n">
        <f aca="false">Campaign_data!F527</f>
        <v>72.51</v>
      </c>
    </row>
    <row r="528" customFormat="false" ht="12.8" hidden="false" customHeight="false" outlineLevel="0" collapsed="false">
      <c r="A528" s="1" t="n">
        <f aca="false">Campaign_data!A528</f>
        <v>527</v>
      </c>
      <c r="B528" s="1" t="n">
        <f aca="false">Campaign_data!D528</f>
        <v>7108.45</v>
      </c>
      <c r="C528" s="1" t="n">
        <f aca="false">Campaign_data!K528</f>
        <v>0.481753406157461</v>
      </c>
      <c r="D528" s="1" t="n">
        <f aca="false">B528</f>
        <v>7108.45</v>
      </c>
      <c r="E528" s="1" t="n">
        <f aca="false">C528</f>
        <v>0.481753406157461</v>
      </c>
      <c r="F528" s="1" t="n">
        <f aca="false">IFERROR(D528*E528,"")</f>
        <v>3424.52</v>
      </c>
      <c r="G528" s="1" t="n">
        <f aca="false">Campaign_data!F528</f>
        <v>3424.52</v>
      </c>
    </row>
    <row r="529" customFormat="false" ht="12.8" hidden="true" customHeight="false" outlineLevel="0" collapsed="false">
      <c r="A529" s="1" t="n">
        <f aca="false">Campaign_data!A529</f>
        <v>528</v>
      </c>
      <c r="B529" s="1" t="n">
        <f aca="false">Campaign_data!D529</f>
        <v>0</v>
      </c>
      <c r="C529" s="1" t="str">
        <f aca="false">Campaign_data!K529</f>
        <v/>
      </c>
      <c r="D529" s="1" t="n">
        <f aca="false">B529</f>
        <v>0</v>
      </c>
      <c r="E529" s="1" t="str">
        <f aca="false">C529</f>
        <v/>
      </c>
      <c r="F529" s="1" t="str">
        <f aca="false">IFERROR(D529*E529,"")</f>
        <v/>
      </c>
      <c r="G529" s="1" t="n">
        <f aca="false">Campaign_data!F529</f>
        <v>0</v>
      </c>
    </row>
    <row r="530" customFormat="false" ht="12.8" hidden="false" customHeight="false" outlineLevel="0" collapsed="false">
      <c r="A530" s="1" t="n">
        <f aca="false">Campaign_data!A530</f>
        <v>529</v>
      </c>
      <c r="B530" s="1" t="n">
        <f aca="false">Campaign_data!D530</f>
        <v>24896.93</v>
      </c>
      <c r="C530" s="1" t="n">
        <f aca="false">Campaign_data!K530</f>
        <v>0.618211160974466</v>
      </c>
      <c r="D530" s="1" t="n">
        <f aca="false">B530</f>
        <v>24896.93</v>
      </c>
      <c r="E530" s="1" t="n">
        <f aca="false">C530</f>
        <v>0.618211160974466</v>
      </c>
      <c r="F530" s="1" t="n">
        <f aca="false">IFERROR(D530*E530,"")</f>
        <v>15391.56</v>
      </c>
      <c r="G530" s="1" t="n">
        <f aca="false">Campaign_data!F530</f>
        <v>15391.56</v>
      </c>
    </row>
    <row r="531" customFormat="false" ht="12.8" hidden="true" customHeight="false" outlineLevel="0" collapsed="false">
      <c r="A531" s="1" t="n">
        <f aca="false">Campaign_data!A531</f>
        <v>530</v>
      </c>
      <c r="B531" s="1" t="n">
        <f aca="false">Campaign_data!D531</f>
        <v>0</v>
      </c>
      <c r="C531" s="1" t="str">
        <f aca="false">Campaign_data!K531</f>
        <v/>
      </c>
      <c r="D531" s="1" t="n">
        <f aca="false">B531</f>
        <v>0</v>
      </c>
      <c r="E531" s="1" t="str">
        <f aca="false">C531</f>
        <v/>
      </c>
      <c r="F531" s="1" t="str">
        <f aca="false">IFERROR(D531*E531,"")</f>
        <v/>
      </c>
      <c r="G531" s="1" t="n">
        <f aca="false">Campaign_data!F531</f>
        <v>0</v>
      </c>
    </row>
    <row r="532" customFormat="false" ht="12.8" hidden="true" customHeight="false" outlineLevel="0" collapsed="false">
      <c r="A532" s="1" t="n">
        <f aca="false">Campaign_data!A532</f>
        <v>531</v>
      </c>
      <c r="B532" s="1" t="n">
        <f aca="false">Campaign_data!D532</f>
        <v>0</v>
      </c>
      <c r="C532" s="1" t="str">
        <f aca="false">Campaign_data!K532</f>
        <v/>
      </c>
      <c r="D532" s="1" t="n">
        <f aca="false">B532</f>
        <v>0</v>
      </c>
      <c r="E532" s="1" t="str">
        <f aca="false">C532</f>
        <v/>
      </c>
      <c r="F532" s="1" t="str">
        <f aca="false">IFERROR(D532*E532,"")</f>
        <v/>
      </c>
      <c r="G532" s="1" t="n">
        <f aca="false">Campaign_data!F532</f>
        <v>0</v>
      </c>
    </row>
    <row r="533" customFormat="false" ht="12.8" hidden="true" customHeight="false" outlineLevel="0" collapsed="false">
      <c r="A533" s="1" t="n">
        <f aca="false">Campaign_data!A533</f>
        <v>532</v>
      </c>
      <c r="B533" s="1" t="n">
        <f aca="false">Campaign_data!D533</f>
        <v>0</v>
      </c>
      <c r="C533" s="1" t="str">
        <f aca="false">Campaign_data!K533</f>
        <v/>
      </c>
      <c r="D533" s="1" t="n">
        <f aca="false">B533</f>
        <v>0</v>
      </c>
      <c r="E533" s="1" t="str">
        <f aca="false">C533</f>
        <v/>
      </c>
      <c r="F533" s="1" t="str">
        <f aca="false">IFERROR(D533*E533,"")</f>
        <v/>
      </c>
      <c r="G533" s="1" t="n">
        <f aca="false">Campaign_data!F533</f>
        <v>0</v>
      </c>
    </row>
    <row r="534" customFormat="false" ht="12.8" hidden="true" customHeight="false" outlineLevel="0" collapsed="false">
      <c r="A534" s="1" t="n">
        <f aca="false">Campaign_data!A534</f>
        <v>533</v>
      </c>
      <c r="B534" s="1" t="n">
        <f aca="false">Campaign_data!D534</f>
        <v>0</v>
      </c>
      <c r="C534" s="1" t="str">
        <f aca="false">Campaign_data!K534</f>
        <v/>
      </c>
      <c r="D534" s="1" t="n">
        <f aca="false">B534</f>
        <v>0</v>
      </c>
      <c r="E534" s="1" t="str">
        <f aca="false">C534</f>
        <v/>
      </c>
      <c r="F534" s="1" t="str">
        <f aca="false">IFERROR(D534*E534,"")</f>
        <v/>
      </c>
      <c r="G534" s="1" t="n">
        <f aca="false">Campaign_data!F534</f>
        <v>0</v>
      </c>
    </row>
    <row r="535" customFormat="false" ht="12.8" hidden="true" customHeight="false" outlineLevel="0" collapsed="false">
      <c r="A535" s="1" t="n">
        <f aca="false">Campaign_data!A535</f>
        <v>534</v>
      </c>
      <c r="B535" s="1" t="n">
        <f aca="false">Campaign_data!D535</f>
        <v>0</v>
      </c>
      <c r="C535" s="1" t="str">
        <f aca="false">Campaign_data!K535</f>
        <v/>
      </c>
      <c r="D535" s="1" t="n">
        <f aca="false">B535</f>
        <v>0</v>
      </c>
      <c r="E535" s="1" t="str">
        <f aca="false">C535</f>
        <v/>
      </c>
      <c r="F535" s="1" t="str">
        <f aca="false">IFERROR(D535*E535,"")</f>
        <v/>
      </c>
      <c r="G535" s="1" t="n">
        <f aca="false">Campaign_data!F535</f>
        <v>0</v>
      </c>
    </row>
    <row r="536" customFormat="false" ht="12.8" hidden="false" customHeight="false" outlineLevel="0" collapsed="false">
      <c r="A536" s="1" t="n">
        <f aca="false">Campaign_data!A536</f>
        <v>535</v>
      </c>
      <c r="B536" s="1" t="n">
        <f aca="false">Campaign_data!D536</f>
        <v>64.19</v>
      </c>
      <c r="C536" s="1" t="n">
        <f aca="false">Campaign_data!K536</f>
        <v>0</v>
      </c>
      <c r="D536" s="1" t="n">
        <f aca="false">B536</f>
        <v>64.19</v>
      </c>
      <c r="E536" s="1" t="n">
        <f aca="false">C536</f>
        <v>0</v>
      </c>
      <c r="F536" s="1" t="n">
        <f aca="false">IFERROR(D536*E536,"")</f>
        <v>0</v>
      </c>
      <c r="G536" s="1" t="n">
        <f aca="false">Campaign_data!F536</f>
        <v>0</v>
      </c>
    </row>
    <row r="537" customFormat="false" ht="12.8" hidden="false" customHeight="false" outlineLevel="0" collapsed="false">
      <c r="A537" s="1" t="n">
        <f aca="false">Campaign_data!A537</f>
        <v>536</v>
      </c>
      <c r="B537" s="1" t="n">
        <f aca="false">Campaign_data!D537</f>
        <v>176.98</v>
      </c>
      <c r="C537" s="1" t="n">
        <f aca="false">Campaign_data!K537</f>
        <v>1.01497344332693</v>
      </c>
      <c r="D537" s="1" t="n">
        <f aca="false">B537</f>
        <v>176.98</v>
      </c>
      <c r="E537" s="1" t="n">
        <f aca="false">C537</f>
        <v>1.01497344332693</v>
      </c>
      <c r="F537" s="1" t="n">
        <f aca="false">IFERROR(D537*E537,"")</f>
        <v>179.63</v>
      </c>
      <c r="G537" s="1" t="n">
        <f aca="false">Campaign_data!F537</f>
        <v>179.63</v>
      </c>
    </row>
    <row r="538" customFormat="false" ht="12.8" hidden="false" customHeight="false" outlineLevel="0" collapsed="false">
      <c r="A538" s="1" t="n">
        <f aca="false">Campaign_data!A538</f>
        <v>537</v>
      </c>
      <c r="B538" s="1" t="n">
        <f aca="false">Campaign_data!D538</f>
        <v>3130.55</v>
      </c>
      <c r="C538" s="1" t="n">
        <f aca="false">Campaign_data!K538</f>
        <v>0.404963983964479</v>
      </c>
      <c r="D538" s="1" t="n">
        <f aca="false">B538</f>
        <v>3130.55</v>
      </c>
      <c r="E538" s="1" t="n">
        <f aca="false">C538</f>
        <v>0.404963983964479</v>
      </c>
      <c r="F538" s="1" t="n">
        <f aca="false">IFERROR(D538*E538,"")</f>
        <v>1267.76</v>
      </c>
      <c r="G538" s="1" t="n">
        <f aca="false">Campaign_data!F538</f>
        <v>1267.76</v>
      </c>
    </row>
    <row r="539" customFormat="false" ht="12.8" hidden="true" customHeight="false" outlineLevel="0" collapsed="false">
      <c r="A539" s="1" t="n">
        <f aca="false">Campaign_data!A539</f>
        <v>538</v>
      </c>
      <c r="B539" s="1" t="n">
        <f aca="false">Campaign_data!D539</f>
        <v>0</v>
      </c>
      <c r="C539" s="1" t="str">
        <f aca="false">Campaign_data!K539</f>
        <v/>
      </c>
      <c r="D539" s="1" t="n">
        <f aca="false">B539</f>
        <v>0</v>
      </c>
      <c r="E539" s="1" t="str">
        <f aca="false">C539</f>
        <v/>
      </c>
      <c r="F539" s="1" t="str">
        <f aca="false">IFERROR(D539*E539,"")</f>
        <v/>
      </c>
      <c r="G539" s="1" t="n">
        <f aca="false">Campaign_data!F539</f>
        <v>0</v>
      </c>
    </row>
    <row r="540" customFormat="false" ht="12.8" hidden="false" customHeight="false" outlineLevel="0" collapsed="false">
      <c r="A540" s="1" t="n">
        <f aca="false">Campaign_data!A540</f>
        <v>539</v>
      </c>
      <c r="B540" s="1" t="n">
        <f aca="false">Campaign_data!D540</f>
        <v>90.58</v>
      </c>
      <c r="C540" s="1" t="n">
        <f aca="false">Campaign_data!K540</f>
        <v>0</v>
      </c>
      <c r="D540" s="1" t="n">
        <f aca="false">B540</f>
        <v>90.58</v>
      </c>
      <c r="E540" s="1" t="n">
        <f aca="false">C540</f>
        <v>0</v>
      </c>
      <c r="F540" s="1" t="n">
        <f aca="false">IFERROR(D540*E540,"")</f>
        <v>0</v>
      </c>
      <c r="G540" s="1" t="n">
        <f aca="false">Campaign_data!F540</f>
        <v>0</v>
      </c>
    </row>
    <row r="541" customFormat="false" ht="12.8" hidden="false" customHeight="false" outlineLevel="0" collapsed="false">
      <c r="A541" s="1" t="n">
        <f aca="false">Campaign_data!A541</f>
        <v>540</v>
      </c>
      <c r="B541" s="1" t="n">
        <f aca="false">Campaign_data!D541</f>
        <v>148.49</v>
      </c>
      <c r="C541" s="1" t="n">
        <f aca="false">Campaign_data!K541</f>
        <v>0</v>
      </c>
      <c r="D541" s="1" t="n">
        <f aca="false">B541</f>
        <v>148.49</v>
      </c>
      <c r="E541" s="1" t="n">
        <f aca="false">C541</f>
        <v>0</v>
      </c>
      <c r="F541" s="1" t="n">
        <f aca="false">IFERROR(D541*E541,"")</f>
        <v>0</v>
      </c>
      <c r="G541" s="1" t="n">
        <f aca="false">Campaign_data!F541</f>
        <v>0</v>
      </c>
    </row>
    <row r="542" customFormat="false" ht="12.8" hidden="false" customHeight="false" outlineLevel="0" collapsed="false">
      <c r="A542" s="1" t="n">
        <f aca="false">Campaign_data!A542</f>
        <v>541</v>
      </c>
      <c r="B542" s="1" t="n">
        <f aca="false">Campaign_data!D542</f>
        <v>1107.85</v>
      </c>
      <c r="C542" s="1" t="n">
        <f aca="false">Campaign_data!K542</f>
        <v>0.0941102134765537</v>
      </c>
      <c r="D542" s="1" t="n">
        <f aca="false">B542</f>
        <v>1107.85</v>
      </c>
      <c r="E542" s="1" t="n">
        <f aca="false">C542</f>
        <v>0.0941102134765537</v>
      </c>
      <c r="F542" s="1" t="n">
        <f aca="false">IFERROR(D542*E542,"")</f>
        <v>104.26</v>
      </c>
      <c r="G542" s="1" t="n">
        <f aca="false">Campaign_data!F542</f>
        <v>104.26</v>
      </c>
    </row>
    <row r="543" customFormat="false" ht="12.8" hidden="true" customHeight="false" outlineLevel="0" collapsed="false">
      <c r="A543" s="1" t="n">
        <f aca="false">Campaign_data!A543</f>
        <v>542</v>
      </c>
      <c r="B543" s="1" t="n">
        <f aca="false">Campaign_data!D543</f>
        <v>0</v>
      </c>
      <c r="C543" s="1" t="str">
        <f aca="false">Campaign_data!K543</f>
        <v/>
      </c>
      <c r="D543" s="1" t="n">
        <f aca="false">B543</f>
        <v>0</v>
      </c>
      <c r="E543" s="1" t="str">
        <f aca="false">C543</f>
        <v/>
      </c>
      <c r="F543" s="1" t="str">
        <f aca="false">IFERROR(D543*E543,"")</f>
        <v/>
      </c>
      <c r="G543" s="1" t="n">
        <f aca="false">Campaign_data!F543</f>
        <v>1386.76</v>
      </c>
    </row>
    <row r="544" customFormat="false" ht="12.8" hidden="false" customHeight="false" outlineLevel="0" collapsed="false">
      <c r="A544" s="1" t="n">
        <f aca="false">Campaign_data!A544</f>
        <v>543</v>
      </c>
      <c r="B544" s="1" t="n">
        <f aca="false">Campaign_data!D544</f>
        <v>25.58</v>
      </c>
      <c r="C544" s="1" t="n">
        <f aca="false">Campaign_data!K544</f>
        <v>0</v>
      </c>
      <c r="D544" s="1" t="n">
        <f aca="false">B544</f>
        <v>25.58</v>
      </c>
      <c r="E544" s="1" t="n">
        <f aca="false">C544</f>
        <v>0</v>
      </c>
      <c r="F544" s="1" t="n">
        <f aca="false">IFERROR(D544*E544,"")</f>
        <v>0</v>
      </c>
      <c r="G544" s="1" t="n">
        <f aca="false">Campaign_data!F544</f>
        <v>0</v>
      </c>
    </row>
    <row r="545" customFormat="false" ht="12.8" hidden="false" customHeight="false" outlineLevel="0" collapsed="false">
      <c r="A545" s="1" t="n">
        <f aca="false">Campaign_data!A545</f>
        <v>544</v>
      </c>
      <c r="B545" s="1" t="n">
        <f aca="false">Campaign_data!D545</f>
        <v>862.21</v>
      </c>
      <c r="C545" s="1" t="n">
        <f aca="false">Campaign_data!K545</f>
        <v>0.080026907597917</v>
      </c>
      <c r="D545" s="1" t="n">
        <f aca="false">B545</f>
        <v>862.21</v>
      </c>
      <c r="E545" s="1" t="n">
        <f aca="false">C545</f>
        <v>0.080026907597917</v>
      </c>
      <c r="F545" s="1" t="n">
        <f aca="false">IFERROR(D545*E545,"")</f>
        <v>69</v>
      </c>
      <c r="G545" s="1" t="n">
        <f aca="false">Campaign_data!F545</f>
        <v>69</v>
      </c>
    </row>
    <row r="546" customFormat="false" ht="12.8" hidden="true" customHeight="false" outlineLevel="0" collapsed="false">
      <c r="A546" s="1" t="n">
        <f aca="false">Campaign_data!A546</f>
        <v>545</v>
      </c>
      <c r="B546" s="1" t="n">
        <f aca="false">Campaign_data!D546</f>
        <v>0</v>
      </c>
      <c r="C546" s="1" t="str">
        <f aca="false">Campaign_data!K546</f>
        <v/>
      </c>
      <c r="D546" s="1" t="n">
        <f aca="false">B546</f>
        <v>0</v>
      </c>
      <c r="E546" s="1" t="str">
        <f aca="false">C546</f>
        <v/>
      </c>
      <c r="F546" s="1" t="str">
        <f aca="false">IFERROR(D546*E546,"")</f>
        <v/>
      </c>
      <c r="G546" s="1" t="n">
        <f aca="false">Campaign_data!F546</f>
        <v>794.1</v>
      </c>
    </row>
    <row r="547" customFormat="false" ht="12.8" hidden="false" customHeight="false" outlineLevel="0" collapsed="false">
      <c r="A547" s="1" t="n">
        <f aca="false">Campaign_data!A547</f>
        <v>546</v>
      </c>
      <c r="B547" s="1" t="n">
        <f aca="false">Campaign_data!D547</f>
        <v>3516.56</v>
      </c>
      <c r="C547" s="1" t="n">
        <f aca="false">Campaign_data!K547</f>
        <v>0.330464999886252</v>
      </c>
      <c r="D547" s="1" t="n">
        <f aca="false">B547</f>
        <v>3516.56</v>
      </c>
      <c r="E547" s="1" t="n">
        <f aca="false">C547</f>
        <v>0.330464999886252</v>
      </c>
      <c r="F547" s="1" t="n">
        <f aca="false">IFERROR(D547*E547,"")</f>
        <v>1162.1</v>
      </c>
      <c r="G547" s="1" t="n">
        <f aca="false">Campaign_data!F547</f>
        <v>1162.1</v>
      </c>
    </row>
    <row r="548" customFormat="false" ht="12.8" hidden="false" customHeight="false" outlineLevel="0" collapsed="false">
      <c r="A548" s="1" t="n">
        <f aca="false">Campaign_data!A548</f>
        <v>547</v>
      </c>
      <c r="B548" s="1" t="n">
        <f aca="false">Campaign_data!D548</f>
        <v>3368.95</v>
      </c>
      <c r="C548" s="1" t="n">
        <f aca="false">Campaign_data!K548</f>
        <v>0.52082399560694</v>
      </c>
      <c r="D548" s="1" t="n">
        <f aca="false">B548</f>
        <v>3368.95</v>
      </c>
      <c r="E548" s="1" t="n">
        <f aca="false">C548</f>
        <v>0.52082399560694</v>
      </c>
      <c r="F548" s="1" t="n">
        <f aca="false">IFERROR(D548*E548,"")</f>
        <v>1754.63</v>
      </c>
      <c r="G548" s="1" t="n">
        <f aca="false">Campaign_data!F548</f>
        <v>1754.63</v>
      </c>
    </row>
    <row r="549" customFormat="false" ht="12.8" hidden="true" customHeight="false" outlineLevel="0" collapsed="false">
      <c r="A549" s="1" t="n">
        <f aca="false">Campaign_data!A549</f>
        <v>548</v>
      </c>
      <c r="B549" s="1" t="n">
        <f aca="false">Campaign_data!D549</f>
        <v>0</v>
      </c>
      <c r="C549" s="1" t="str">
        <f aca="false">Campaign_data!K549</f>
        <v/>
      </c>
      <c r="D549" s="1" t="n">
        <f aca="false">B549</f>
        <v>0</v>
      </c>
      <c r="E549" s="1" t="str">
        <f aca="false">C549</f>
        <v/>
      </c>
      <c r="F549" s="1" t="str">
        <f aca="false">IFERROR(D549*E549,"")</f>
        <v/>
      </c>
      <c r="G549" s="1" t="n">
        <f aca="false">Campaign_data!F549</f>
        <v>0</v>
      </c>
    </row>
    <row r="550" customFormat="false" ht="12.8" hidden="false" customHeight="false" outlineLevel="0" collapsed="false">
      <c r="A550" s="1" t="n">
        <f aca="false">Campaign_data!A550</f>
        <v>549</v>
      </c>
      <c r="B550" s="1" t="n">
        <f aca="false">Campaign_data!D550</f>
        <v>481.16</v>
      </c>
      <c r="C550" s="1" t="n">
        <f aca="false">Campaign_data!K550</f>
        <v>0</v>
      </c>
      <c r="D550" s="1" t="n">
        <f aca="false">B550</f>
        <v>481.16</v>
      </c>
      <c r="E550" s="1" t="n">
        <f aca="false">C550</f>
        <v>0</v>
      </c>
      <c r="F550" s="1" t="n">
        <f aca="false">IFERROR(D550*E550,"")</f>
        <v>0</v>
      </c>
      <c r="G550" s="1" t="n">
        <f aca="false">Campaign_data!F550</f>
        <v>0</v>
      </c>
    </row>
    <row r="551" customFormat="false" ht="12.8" hidden="true" customHeight="false" outlineLevel="0" collapsed="false">
      <c r="A551" s="1" t="n">
        <f aca="false">Campaign_data!A551</f>
        <v>550</v>
      </c>
      <c r="B551" s="1" t="n">
        <f aca="false">Campaign_data!D551</f>
        <v>0</v>
      </c>
      <c r="C551" s="1" t="str">
        <f aca="false">Campaign_data!K551</f>
        <v/>
      </c>
      <c r="D551" s="1" t="n">
        <f aca="false">B551</f>
        <v>0</v>
      </c>
      <c r="E551" s="1" t="str">
        <f aca="false">C551</f>
        <v/>
      </c>
      <c r="F551" s="1" t="str">
        <f aca="false">IFERROR(D551*E551,"")</f>
        <v/>
      </c>
      <c r="G551" s="1" t="n">
        <f aca="false">Campaign_data!F551</f>
        <v>891.95</v>
      </c>
    </row>
    <row r="552" customFormat="false" ht="12.8" hidden="false" customHeight="false" outlineLevel="0" collapsed="false">
      <c r="A552" s="1" t="n">
        <f aca="false">Campaign_data!A552</f>
        <v>551</v>
      </c>
      <c r="B552" s="1" t="n">
        <f aca="false">Campaign_data!D552</f>
        <v>2578.41</v>
      </c>
      <c r="C552" s="1" t="n">
        <f aca="false">Campaign_data!K552</f>
        <v>0.669889583115176</v>
      </c>
      <c r="D552" s="1" t="n">
        <f aca="false">B552</f>
        <v>2578.41</v>
      </c>
      <c r="E552" s="1" t="n">
        <f aca="false">C552</f>
        <v>0.669889583115176</v>
      </c>
      <c r="F552" s="1" t="n">
        <f aca="false">IFERROR(D552*E552,"")</f>
        <v>1727.25</v>
      </c>
      <c r="G552" s="1" t="n">
        <f aca="false">Campaign_data!F552</f>
        <v>1727.25</v>
      </c>
    </row>
    <row r="553" customFormat="false" ht="12.8" hidden="true" customHeight="false" outlineLevel="0" collapsed="false">
      <c r="A553" s="1" t="n">
        <f aca="false">Campaign_data!A553</f>
        <v>552</v>
      </c>
      <c r="B553" s="1" t="n">
        <f aca="false">Campaign_data!D553</f>
        <v>0</v>
      </c>
      <c r="C553" s="1" t="str">
        <f aca="false">Campaign_data!K553</f>
        <v/>
      </c>
      <c r="D553" s="1" t="n">
        <f aca="false">B553</f>
        <v>0</v>
      </c>
      <c r="E553" s="1" t="str">
        <f aca="false">C553</f>
        <v/>
      </c>
      <c r="F553" s="1" t="str">
        <f aca="false">IFERROR(D553*E553,"")</f>
        <v/>
      </c>
      <c r="G553" s="1" t="n">
        <f aca="false">Campaign_data!F553</f>
        <v>0</v>
      </c>
    </row>
    <row r="554" customFormat="false" ht="12.8" hidden="true" customHeight="false" outlineLevel="0" collapsed="false">
      <c r="A554" s="1" t="n">
        <f aca="false">Campaign_data!A554</f>
        <v>553</v>
      </c>
      <c r="B554" s="1" t="n">
        <f aca="false">Campaign_data!D554</f>
        <v>0</v>
      </c>
      <c r="C554" s="1" t="str">
        <f aca="false">Campaign_data!K554</f>
        <v/>
      </c>
      <c r="D554" s="1" t="n">
        <f aca="false">B554</f>
        <v>0</v>
      </c>
      <c r="E554" s="1" t="str">
        <f aca="false">C554</f>
        <v/>
      </c>
      <c r="F554" s="1" t="str">
        <f aca="false">IFERROR(D554*E554,"")</f>
        <v/>
      </c>
      <c r="G554" s="1" t="n">
        <f aca="false">Campaign_data!F554</f>
        <v>0</v>
      </c>
    </row>
    <row r="555" customFormat="false" ht="12.8" hidden="false" customHeight="false" outlineLevel="0" collapsed="false">
      <c r="A555" s="1" t="n">
        <f aca="false">Campaign_data!A555</f>
        <v>554</v>
      </c>
      <c r="B555" s="1" t="n">
        <f aca="false">Campaign_data!D555</f>
        <v>4240.43</v>
      </c>
      <c r="C555" s="1" t="n">
        <f aca="false">Campaign_data!K555</f>
        <v>0.582978613018019</v>
      </c>
      <c r="D555" s="1" t="n">
        <f aca="false">B555</f>
        <v>4240.43</v>
      </c>
      <c r="E555" s="1" t="n">
        <f aca="false">C555</f>
        <v>0.582978613018019</v>
      </c>
      <c r="F555" s="1" t="n">
        <f aca="false">IFERROR(D555*E555,"")</f>
        <v>2472.08</v>
      </c>
      <c r="G555" s="1" t="n">
        <f aca="false">Campaign_data!F555</f>
        <v>2472.08</v>
      </c>
    </row>
    <row r="556" customFormat="false" ht="12.8" hidden="true" customHeight="false" outlineLevel="0" collapsed="false">
      <c r="A556" s="1" t="n">
        <f aca="false">Campaign_data!A556</f>
        <v>555</v>
      </c>
      <c r="B556" s="1" t="n">
        <f aca="false">Campaign_data!D556</f>
        <v>0</v>
      </c>
      <c r="C556" s="1" t="str">
        <f aca="false">Campaign_data!K556</f>
        <v/>
      </c>
      <c r="D556" s="1" t="n">
        <f aca="false">B556</f>
        <v>0</v>
      </c>
      <c r="E556" s="1" t="str">
        <f aca="false">C556</f>
        <v/>
      </c>
      <c r="F556" s="1" t="str">
        <f aca="false">IFERROR(D556*E556,"")</f>
        <v/>
      </c>
      <c r="G556" s="1" t="n">
        <f aca="false">Campaign_data!F556</f>
        <v>96.55</v>
      </c>
    </row>
    <row r="557" customFormat="false" ht="12.8" hidden="false" customHeight="false" outlineLevel="0" collapsed="false">
      <c r="A557" s="1" t="n">
        <f aca="false">Campaign_data!A557</f>
        <v>556</v>
      </c>
      <c r="B557" s="1" t="n">
        <f aca="false">Campaign_data!D557</f>
        <v>1745.81</v>
      </c>
      <c r="C557" s="1" t="n">
        <f aca="false">Campaign_data!K557</f>
        <v>0.294247369415916</v>
      </c>
      <c r="D557" s="1" t="n">
        <f aca="false">B557</f>
        <v>1745.81</v>
      </c>
      <c r="E557" s="1" t="n">
        <f aca="false">C557</f>
        <v>0.294247369415916</v>
      </c>
      <c r="F557" s="1" t="n">
        <f aca="false">IFERROR(D557*E557,"")</f>
        <v>513.7</v>
      </c>
      <c r="G557" s="1" t="n">
        <f aca="false">Campaign_data!F557</f>
        <v>513.7</v>
      </c>
    </row>
    <row r="558" customFormat="false" ht="12.8" hidden="true" customHeight="false" outlineLevel="0" collapsed="false">
      <c r="A558" s="1" t="n">
        <f aca="false">Campaign_data!A558</f>
        <v>557</v>
      </c>
      <c r="B558" s="1" t="n">
        <f aca="false">Campaign_data!D558</f>
        <v>0</v>
      </c>
      <c r="C558" s="1" t="str">
        <f aca="false">Campaign_data!K558</f>
        <v/>
      </c>
      <c r="D558" s="1" t="n">
        <f aca="false">B558</f>
        <v>0</v>
      </c>
      <c r="E558" s="1" t="str">
        <f aca="false">C558</f>
        <v/>
      </c>
      <c r="F558" s="1" t="str">
        <f aca="false">IFERROR(D558*E558,"")</f>
        <v/>
      </c>
      <c r="G558" s="1" t="n">
        <f aca="false">Campaign_data!F558</f>
        <v>0</v>
      </c>
    </row>
    <row r="559" customFormat="false" ht="12.8" hidden="true" customHeight="false" outlineLevel="0" collapsed="false">
      <c r="A559" s="1" t="n">
        <f aca="false">Campaign_data!A559</f>
        <v>558</v>
      </c>
      <c r="B559" s="1" t="n">
        <f aca="false">Campaign_data!D559</f>
        <v>0</v>
      </c>
      <c r="C559" s="1" t="str">
        <f aca="false">Campaign_data!K559</f>
        <v/>
      </c>
      <c r="D559" s="1" t="n">
        <f aca="false">B559</f>
        <v>0</v>
      </c>
      <c r="E559" s="1" t="str">
        <f aca="false">C559</f>
        <v/>
      </c>
      <c r="F559" s="1" t="str">
        <f aca="false">IFERROR(D559*E559,"")</f>
        <v/>
      </c>
      <c r="G559" s="1" t="n">
        <f aca="false">Campaign_data!F559</f>
        <v>0</v>
      </c>
    </row>
    <row r="560" customFormat="false" ht="12.8" hidden="true" customHeight="false" outlineLevel="0" collapsed="false">
      <c r="A560" s="1" t="n">
        <f aca="false">Campaign_data!A560</f>
        <v>559</v>
      </c>
      <c r="B560" s="1" t="n">
        <f aca="false">Campaign_data!D560</f>
        <v>0</v>
      </c>
      <c r="C560" s="1" t="str">
        <f aca="false">Campaign_data!K560</f>
        <v/>
      </c>
      <c r="D560" s="1" t="n">
        <f aca="false">B560</f>
        <v>0</v>
      </c>
      <c r="E560" s="1" t="str">
        <f aca="false">C560</f>
        <v/>
      </c>
      <c r="F560" s="1" t="str">
        <f aca="false">IFERROR(D560*E560,"")</f>
        <v/>
      </c>
      <c r="G560" s="1" t="n">
        <f aca="false">Campaign_data!F560</f>
        <v>0</v>
      </c>
    </row>
    <row r="561" customFormat="false" ht="12.8" hidden="false" customHeight="false" outlineLevel="0" collapsed="false">
      <c r="A561" s="1" t="n">
        <f aca="false">Campaign_data!A561</f>
        <v>560</v>
      </c>
      <c r="B561" s="1" t="n">
        <f aca="false">Campaign_data!D561</f>
        <v>787.34</v>
      </c>
      <c r="C561" s="1" t="n">
        <f aca="false">Campaign_data!K561</f>
        <v>0.121637412045622</v>
      </c>
      <c r="D561" s="1" t="n">
        <f aca="false">B561</f>
        <v>787.34</v>
      </c>
      <c r="E561" s="1" t="n">
        <f aca="false">C561</f>
        <v>0.121637412045622</v>
      </c>
      <c r="F561" s="1" t="n">
        <f aca="false">IFERROR(D561*E561,"")</f>
        <v>95.77</v>
      </c>
      <c r="G561" s="1" t="n">
        <f aca="false">Campaign_data!F561</f>
        <v>95.77</v>
      </c>
    </row>
    <row r="562" customFormat="false" ht="12.8" hidden="true" customHeight="false" outlineLevel="0" collapsed="false">
      <c r="A562" s="1" t="n">
        <f aca="false">Campaign_data!A562</f>
        <v>561</v>
      </c>
      <c r="B562" s="1" t="n">
        <f aca="false">Campaign_data!D562</f>
        <v>0</v>
      </c>
      <c r="C562" s="1" t="str">
        <f aca="false">Campaign_data!K562</f>
        <v/>
      </c>
      <c r="D562" s="1" t="n">
        <f aca="false">B562</f>
        <v>0</v>
      </c>
      <c r="E562" s="1" t="str">
        <f aca="false">C562</f>
        <v/>
      </c>
      <c r="F562" s="1" t="str">
        <f aca="false">IFERROR(D562*E562,"")</f>
        <v/>
      </c>
      <c r="G562" s="1" t="n">
        <f aca="false">Campaign_data!F562</f>
        <v>0</v>
      </c>
    </row>
    <row r="563" customFormat="false" ht="12.8" hidden="false" customHeight="false" outlineLevel="0" collapsed="false">
      <c r="A563" s="1" t="n">
        <f aca="false">Campaign_data!A563</f>
        <v>562</v>
      </c>
      <c r="B563" s="1" t="n">
        <f aca="false">Campaign_data!D563</f>
        <v>1081.41</v>
      </c>
      <c r="C563" s="1" t="n">
        <f aca="false">Campaign_data!K563</f>
        <v>0.233898336431141</v>
      </c>
      <c r="D563" s="1" t="n">
        <f aca="false">B563</f>
        <v>1081.41</v>
      </c>
      <c r="E563" s="1" t="n">
        <f aca="false">C563</f>
        <v>0.233898336431141</v>
      </c>
      <c r="F563" s="1" t="n">
        <f aca="false">IFERROR(D563*E563,"")</f>
        <v>252.94</v>
      </c>
      <c r="G563" s="1" t="n">
        <f aca="false">Campaign_data!F563</f>
        <v>252.94</v>
      </c>
    </row>
    <row r="564" customFormat="false" ht="12.8" hidden="true" customHeight="false" outlineLevel="0" collapsed="false">
      <c r="A564" s="1" t="n">
        <f aca="false">Campaign_data!A564</f>
        <v>563</v>
      </c>
      <c r="B564" s="1" t="n">
        <f aca="false">Campaign_data!D564</f>
        <v>0</v>
      </c>
      <c r="C564" s="1" t="str">
        <f aca="false">Campaign_data!K564</f>
        <v/>
      </c>
      <c r="D564" s="1" t="n">
        <f aca="false">B564</f>
        <v>0</v>
      </c>
      <c r="E564" s="1" t="str">
        <f aca="false">C564</f>
        <v/>
      </c>
      <c r="F564" s="1" t="str">
        <f aca="false">IFERROR(D564*E564,"")</f>
        <v/>
      </c>
      <c r="G564" s="1" t="n">
        <f aca="false">Campaign_data!F564</f>
        <v>0</v>
      </c>
    </row>
    <row r="565" customFormat="false" ht="12.8" hidden="true" customHeight="false" outlineLevel="0" collapsed="false">
      <c r="A565" s="1" t="n">
        <f aca="false">Campaign_data!A565</f>
        <v>564</v>
      </c>
      <c r="B565" s="1" t="n">
        <f aca="false">Campaign_data!D565</f>
        <v>0</v>
      </c>
      <c r="C565" s="1" t="str">
        <f aca="false">Campaign_data!K565</f>
        <v/>
      </c>
      <c r="D565" s="1" t="n">
        <f aca="false">B565</f>
        <v>0</v>
      </c>
      <c r="E565" s="1" t="str">
        <f aca="false">C565</f>
        <v/>
      </c>
      <c r="F565" s="1" t="str">
        <f aca="false">IFERROR(D565*E565,"")</f>
        <v/>
      </c>
      <c r="G565" s="1" t="n">
        <f aca="false">Campaign_data!F565</f>
        <v>1480.17</v>
      </c>
    </row>
    <row r="566" customFormat="false" ht="12.8" hidden="false" customHeight="false" outlineLevel="0" collapsed="false">
      <c r="A566" s="1" t="n">
        <f aca="false">Campaign_data!A566</f>
        <v>565</v>
      </c>
      <c r="B566" s="1" t="n">
        <f aca="false">Campaign_data!D566</f>
        <v>55.44</v>
      </c>
      <c r="C566" s="1" t="n">
        <f aca="false">Campaign_data!K566</f>
        <v>0</v>
      </c>
      <c r="D566" s="1" t="n">
        <f aca="false">B566</f>
        <v>55.44</v>
      </c>
      <c r="E566" s="1" t="n">
        <f aca="false">C566</f>
        <v>0</v>
      </c>
      <c r="F566" s="1" t="n">
        <f aca="false">IFERROR(D566*E566,"")</f>
        <v>0</v>
      </c>
      <c r="G566" s="1" t="n">
        <f aca="false">Campaign_data!F566</f>
        <v>0</v>
      </c>
    </row>
    <row r="567" customFormat="false" ht="12.8" hidden="false" customHeight="false" outlineLevel="0" collapsed="false">
      <c r="A567" s="1" t="n">
        <f aca="false">Campaign_data!A567</f>
        <v>566</v>
      </c>
      <c r="B567" s="1" t="n">
        <f aca="false">Campaign_data!D567</f>
        <v>8239.2</v>
      </c>
      <c r="C567" s="1" t="n">
        <f aca="false">Campaign_data!K567</f>
        <v>0.74230386445286</v>
      </c>
      <c r="D567" s="1" t="n">
        <f aca="false">B567</f>
        <v>8239.2</v>
      </c>
      <c r="E567" s="1" t="n">
        <f aca="false">C567</f>
        <v>0.74230386445286</v>
      </c>
      <c r="F567" s="1" t="n">
        <f aca="false">IFERROR(D567*E567,"")</f>
        <v>6115.99</v>
      </c>
      <c r="G567" s="1" t="n">
        <f aca="false">Campaign_data!F567</f>
        <v>6115.99</v>
      </c>
    </row>
    <row r="568" customFormat="false" ht="12.8" hidden="false" customHeight="false" outlineLevel="0" collapsed="false">
      <c r="A568" s="1" t="n">
        <f aca="false">Campaign_data!A568</f>
        <v>567</v>
      </c>
      <c r="B568" s="1" t="n">
        <f aca="false">Campaign_data!D568</f>
        <v>10391.42</v>
      </c>
      <c r="C568" s="1" t="n">
        <f aca="false">Campaign_data!K568</f>
        <v>0.586805268192413</v>
      </c>
      <c r="D568" s="1" t="n">
        <f aca="false">B568</f>
        <v>10391.42</v>
      </c>
      <c r="E568" s="1" t="n">
        <f aca="false">C568</f>
        <v>0.586805268192413</v>
      </c>
      <c r="F568" s="1" t="n">
        <f aca="false">IFERROR(D568*E568,"")</f>
        <v>6097.74</v>
      </c>
      <c r="G568" s="1" t="n">
        <f aca="false">Campaign_data!F568</f>
        <v>6097.74</v>
      </c>
    </row>
    <row r="569" customFormat="false" ht="12.8" hidden="false" customHeight="false" outlineLevel="0" collapsed="false">
      <c r="A569" s="1" t="n">
        <f aca="false">Campaign_data!A569</f>
        <v>568</v>
      </c>
      <c r="B569" s="1" t="n">
        <f aca="false">Campaign_data!D569</f>
        <v>536.2</v>
      </c>
      <c r="C569" s="1" t="n">
        <f aca="false">Campaign_data!K569</f>
        <v>0.629242819843342</v>
      </c>
      <c r="D569" s="1" t="n">
        <f aca="false">B569</f>
        <v>536.2</v>
      </c>
      <c r="E569" s="1" t="n">
        <f aca="false">C569</f>
        <v>0.629242819843342</v>
      </c>
      <c r="F569" s="1" t="n">
        <f aca="false">IFERROR(D569*E569,"")</f>
        <v>337.4</v>
      </c>
      <c r="G569" s="1" t="n">
        <f aca="false">Campaign_data!F569</f>
        <v>337.4</v>
      </c>
    </row>
    <row r="570" customFormat="false" ht="12.8" hidden="false" customHeight="false" outlineLevel="0" collapsed="false">
      <c r="A570" s="1" t="n">
        <f aca="false">Campaign_data!A570</f>
        <v>569</v>
      </c>
      <c r="B570" s="1" t="n">
        <f aca="false">Campaign_data!D570</f>
        <v>81483.1</v>
      </c>
      <c r="C570" s="1" t="n">
        <f aca="false">Campaign_data!K570</f>
        <v>0.668302997799544</v>
      </c>
      <c r="D570" s="1" t="n">
        <f aca="false">B570</f>
        <v>81483.1</v>
      </c>
      <c r="E570" s="1" t="n">
        <f aca="false">C570</f>
        <v>0.668302997799544</v>
      </c>
      <c r="F570" s="1" t="n">
        <f aca="false">IFERROR(D570*E570,"")</f>
        <v>54455.4</v>
      </c>
      <c r="G570" s="1" t="n">
        <f aca="false">Campaign_data!F570</f>
        <v>54455.4</v>
      </c>
    </row>
    <row r="571" customFormat="false" ht="12.8" hidden="true" customHeight="false" outlineLevel="0" collapsed="false">
      <c r="A571" s="1" t="n">
        <f aca="false">Campaign_data!A571</f>
        <v>570</v>
      </c>
      <c r="B571" s="1" t="n">
        <f aca="false">Campaign_data!D571</f>
        <v>0</v>
      </c>
      <c r="C571" s="1" t="str">
        <f aca="false">Campaign_data!K571</f>
        <v/>
      </c>
      <c r="D571" s="1" t="n">
        <f aca="false">B571</f>
        <v>0</v>
      </c>
      <c r="E571" s="1" t="str">
        <f aca="false">C571</f>
        <v/>
      </c>
      <c r="F571" s="1" t="str">
        <f aca="false">IFERROR(D571*E571,"")</f>
        <v/>
      </c>
      <c r="G571" s="1" t="n">
        <f aca="false">Campaign_data!F571</f>
        <v>0</v>
      </c>
    </row>
    <row r="572" customFormat="false" ht="12.8" hidden="false" customHeight="false" outlineLevel="0" collapsed="false">
      <c r="A572" s="1" t="n">
        <f aca="false">Campaign_data!A572</f>
        <v>571</v>
      </c>
      <c r="B572" s="1" t="n">
        <f aca="false">Campaign_data!D572</f>
        <v>10111.91</v>
      </c>
      <c r="C572" s="1" t="n">
        <f aca="false">Campaign_data!K572</f>
        <v>0.660288709056944</v>
      </c>
      <c r="D572" s="1" t="n">
        <f aca="false">B572</f>
        <v>10111.91</v>
      </c>
      <c r="E572" s="1" t="n">
        <f aca="false">C572</f>
        <v>0.660288709056944</v>
      </c>
      <c r="F572" s="1" t="n">
        <f aca="false">IFERROR(D572*E572,"")</f>
        <v>6676.78</v>
      </c>
      <c r="G572" s="1" t="n">
        <f aca="false">Campaign_data!F572</f>
        <v>6676.78</v>
      </c>
    </row>
    <row r="573" customFormat="false" ht="12.8" hidden="true" customHeight="false" outlineLevel="0" collapsed="false">
      <c r="A573" s="1" t="n">
        <f aca="false">Campaign_data!A573</f>
        <v>572</v>
      </c>
      <c r="B573" s="1" t="n">
        <f aca="false">Campaign_data!D573</f>
        <v>0</v>
      </c>
      <c r="C573" s="1" t="str">
        <f aca="false">Campaign_data!K573</f>
        <v/>
      </c>
      <c r="D573" s="1" t="n">
        <f aca="false">B573</f>
        <v>0</v>
      </c>
      <c r="E573" s="1" t="str">
        <f aca="false">C573</f>
        <v/>
      </c>
      <c r="F573" s="1" t="str">
        <f aca="false">IFERROR(D573*E573,"")</f>
        <v/>
      </c>
      <c r="G573" s="1" t="n">
        <f aca="false">Campaign_data!F573</f>
        <v>0</v>
      </c>
    </row>
    <row r="574" customFormat="false" ht="12.8" hidden="true" customHeight="false" outlineLevel="0" collapsed="false">
      <c r="A574" s="1" t="n">
        <f aca="false">Campaign_data!A574</f>
        <v>573</v>
      </c>
      <c r="B574" s="1" t="n">
        <f aca="false">Campaign_data!D574</f>
        <v>0</v>
      </c>
      <c r="C574" s="1" t="str">
        <f aca="false">Campaign_data!K574</f>
        <v/>
      </c>
      <c r="D574" s="1" t="n">
        <f aca="false">B574</f>
        <v>0</v>
      </c>
      <c r="E574" s="1" t="str">
        <f aca="false">C574</f>
        <v/>
      </c>
      <c r="F574" s="1" t="str">
        <f aca="false">IFERROR(D574*E574,"")</f>
        <v/>
      </c>
      <c r="G574" s="1" t="n">
        <f aca="false">Campaign_data!F574</f>
        <v>333.45</v>
      </c>
    </row>
    <row r="575" customFormat="false" ht="12.8" hidden="true" customHeight="false" outlineLevel="0" collapsed="false">
      <c r="A575" s="1" t="n">
        <f aca="false">Campaign_data!A575</f>
        <v>574</v>
      </c>
      <c r="B575" s="1" t="n">
        <f aca="false">Campaign_data!D575</f>
        <v>0</v>
      </c>
      <c r="C575" s="1" t="str">
        <f aca="false">Campaign_data!K575</f>
        <v/>
      </c>
      <c r="D575" s="1" t="n">
        <f aca="false">B575</f>
        <v>0</v>
      </c>
      <c r="E575" s="1" t="str">
        <f aca="false">C575</f>
        <v/>
      </c>
      <c r="F575" s="1" t="str">
        <f aca="false">IFERROR(D575*E575,"")</f>
        <v/>
      </c>
      <c r="G575" s="1" t="n">
        <f aca="false">Campaign_data!F575</f>
        <v>0</v>
      </c>
    </row>
    <row r="576" customFormat="false" ht="12.8" hidden="true" customHeight="false" outlineLevel="0" collapsed="false">
      <c r="A576" s="1" t="n">
        <f aca="false">Campaign_data!A576</f>
        <v>575</v>
      </c>
      <c r="B576" s="1" t="n">
        <f aca="false">Campaign_data!D576</f>
        <v>0</v>
      </c>
      <c r="C576" s="1" t="str">
        <f aca="false">Campaign_data!K576</f>
        <v/>
      </c>
      <c r="D576" s="1" t="n">
        <f aca="false">B576</f>
        <v>0</v>
      </c>
      <c r="E576" s="1" t="str">
        <f aca="false">C576</f>
        <v/>
      </c>
      <c r="F576" s="1" t="str">
        <f aca="false">IFERROR(D576*E576,"")</f>
        <v/>
      </c>
      <c r="G576" s="1" t="n">
        <f aca="false">Campaign_data!F576</f>
        <v>157.58</v>
      </c>
    </row>
    <row r="577" customFormat="false" ht="12.8" hidden="true" customHeight="false" outlineLevel="0" collapsed="false">
      <c r="A577" s="1" t="n">
        <f aca="false">Campaign_data!A577</f>
        <v>576</v>
      </c>
      <c r="B577" s="1" t="n">
        <f aca="false">Campaign_data!D577</f>
        <v>0</v>
      </c>
      <c r="C577" s="1" t="str">
        <f aca="false">Campaign_data!K577</f>
        <v/>
      </c>
      <c r="D577" s="1" t="n">
        <f aca="false">B577</f>
        <v>0</v>
      </c>
      <c r="E577" s="1" t="str">
        <f aca="false">C577</f>
        <v/>
      </c>
      <c r="F577" s="1" t="str">
        <f aca="false">IFERROR(D577*E577,"")</f>
        <v/>
      </c>
      <c r="G577" s="1" t="n">
        <f aca="false">Campaign_data!F577</f>
        <v>174</v>
      </c>
    </row>
    <row r="578" customFormat="false" ht="12.8" hidden="true" customHeight="false" outlineLevel="0" collapsed="false">
      <c r="A578" s="1" t="n">
        <f aca="false">Campaign_data!A578</f>
        <v>577</v>
      </c>
      <c r="B578" s="1" t="n">
        <f aca="false">Campaign_data!D578</f>
        <v>0</v>
      </c>
      <c r="C578" s="1" t="str">
        <f aca="false">Campaign_data!K578</f>
        <v/>
      </c>
      <c r="D578" s="1" t="n">
        <f aca="false">B578</f>
        <v>0</v>
      </c>
      <c r="E578" s="1" t="str">
        <f aca="false">C578</f>
        <v/>
      </c>
      <c r="F578" s="1" t="str">
        <f aca="false">IFERROR(D578*E578,"")</f>
        <v/>
      </c>
      <c r="G578" s="1" t="n">
        <f aca="false">Campaign_data!F578</f>
        <v>0</v>
      </c>
    </row>
    <row r="579" customFormat="false" ht="12.8" hidden="true" customHeight="false" outlineLevel="0" collapsed="false">
      <c r="A579" s="1" t="n">
        <f aca="false">Campaign_data!A579</f>
        <v>578</v>
      </c>
      <c r="B579" s="1" t="n">
        <f aca="false">Campaign_data!D579</f>
        <v>0</v>
      </c>
      <c r="C579" s="1" t="str">
        <f aca="false">Campaign_data!K579</f>
        <v/>
      </c>
      <c r="D579" s="1" t="n">
        <f aca="false">B579</f>
        <v>0</v>
      </c>
      <c r="E579" s="1" t="str">
        <f aca="false">C579</f>
        <v/>
      </c>
      <c r="F579" s="1" t="str">
        <f aca="false">IFERROR(D579*E579,"")</f>
        <v/>
      </c>
      <c r="G579" s="1" t="n">
        <f aca="false">Campaign_data!F579</f>
        <v>1382.13</v>
      </c>
    </row>
    <row r="580" customFormat="false" ht="12.8" hidden="true" customHeight="false" outlineLevel="0" collapsed="false">
      <c r="A580" s="1" t="n">
        <f aca="false">Campaign_data!A580</f>
        <v>579</v>
      </c>
      <c r="B580" s="1" t="n">
        <f aca="false">Campaign_data!D580</f>
        <v>0</v>
      </c>
      <c r="C580" s="1" t="str">
        <f aca="false">Campaign_data!K580</f>
        <v/>
      </c>
      <c r="D580" s="1" t="n">
        <f aca="false">B580</f>
        <v>0</v>
      </c>
      <c r="E580" s="1" t="str">
        <f aca="false">C580</f>
        <v/>
      </c>
      <c r="F580" s="1" t="str">
        <f aca="false">IFERROR(D580*E580,"")</f>
        <v/>
      </c>
      <c r="G580" s="1" t="n">
        <f aca="false">Campaign_data!F580</f>
        <v>0</v>
      </c>
    </row>
    <row r="581" customFormat="false" ht="12.8" hidden="false" customHeight="false" outlineLevel="0" collapsed="false">
      <c r="A581" s="1" t="n">
        <f aca="false">Campaign_data!A581</f>
        <v>580</v>
      </c>
      <c r="B581" s="1" t="n">
        <f aca="false">Campaign_data!D581</f>
        <v>437.32</v>
      </c>
      <c r="C581" s="1" t="n">
        <f aca="false">Campaign_data!K581</f>
        <v>0.193382420195738</v>
      </c>
      <c r="D581" s="1" t="n">
        <f aca="false">B581</f>
        <v>437.32</v>
      </c>
      <c r="E581" s="1" t="n">
        <f aca="false">C581</f>
        <v>0.193382420195738</v>
      </c>
      <c r="F581" s="1" t="n">
        <f aca="false">IFERROR(D581*E581,"")</f>
        <v>84.5700000000002</v>
      </c>
      <c r="G581" s="1" t="n">
        <f aca="false">Campaign_data!F581</f>
        <v>84.57</v>
      </c>
    </row>
    <row r="582" customFormat="false" ht="12.8" hidden="true" customHeight="false" outlineLevel="0" collapsed="false">
      <c r="A582" s="1" t="n">
        <f aca="false">Campaign_data!A582</f>
        <v>581</v>
      </c>
      <c r="B582" s="1" t="n">
        <f aca="false">Campaign_data!D582</f>
        <v>0</v>
      </c>
      <c r="C582" s="1" t="str">
        <f aca="false">Campaign_data!K582</f>
        <v/>
      </c>
      <c r="D582" s="1" t="n">
        <f aca="false">B582</f>
        <v>0</v>
      </c>
      <c r="E582" s="1" t="str">
        <f aca="false">C582</f>
        <v/>
      </c>
      <c r="F582" s="1" t="str">
        <f aca="false">IFERROR(D582*E582,"")</f>
        <v/>
      </c>
      <c r="G582" s="1" t="n">
        <f aca="false">Campaign_data!F582</f>
        <v>0</v>
      </c>
    </row>
    <row r="583" customFormat="false" ht="12.8" hidden="false" customHeight="false" outlineLevel="0" collapsed="false">
      <c r="A583" s="1" t="n">
        <f aca="false">Campaign_data!A583</f>
        <v>582</v>
      </c>
      <c r="B583" s="1" t="n">
        <f aca="false">Campaign_data!D583</f>
        <v>55.19</v>
      </c>
      <c r="C583" s="1" t="n">
        <f aca="false">Campaign_data!K583</f>
        <v>0</v>
      </c>
      <c r="D583" s="1" t="n">
        <f aca="false">B583</f>
        <v>55.19</v>
      </c>
      <c r="E583" s="1" t="n">
        <f aca="false">C583</f>
        <v>0</v>
      </c>
      <c r="F583" s="1" t="n">
        <f aca="false">IFERROR(D583*E583,"")</f>
        <v>0</v>
      </c>
      <c r="G583" s="1" t="n">
        <f aca="false">Campaign_data!F583</f>
        <v>0</v>
      </c>
    </row>
    <row r="584" customFormat="false" ht="12.8" hidden="true" customHeight="false" outlineLevel="0" collapsed="false">
      <c r="A584" s="1" t="n">
        <f aca="false">Campaign_data!A584</f>
        <v>583</v>
      </c>
      <c r="B584" s="1" t="n">
        <f aca="false">Campaign_data!D584</f>
        <v>0</v>
      </c>
      <c r="C584" s="1" t="str">
        <f aca="false">Campaign_data!K584</f>
        <v/>
      </c>
      <c r="D584" s="1" t="n">
        <f aca="false">B584</f>
        <v>0</v>
      </c>
      <c r="E584" s="1" t="str">
        <f aca="false">C584</f>
        <v/>
      </c>
      <c r="F584" s="1" t="str">
        <f aca="false">IFERROR(D584*E584,"")</f>
        <v/>
      </c>
      <c r="G584" s="1" t="n">
        <f aca="false">Campaign_data!F584</f>
        <v>6087.42</v>
      </c>
    </row>
    <row r="585" customFormat="false" ht="12.8" hidden="false" customHeight="false" outlineLevel="0" collapsed="false">
      <c r="A585" s="1" t="n">
        <f aca="false">Campaign_data!A585</f>
        <v>584</v>
      </c>
      <c r="B585" s="1" t="n">
        <f aca="false">Campaign_data!D585</f>
        <v>126.87</v>
      </c>
      <c r="C585" s="1" t="n">
        <f aca="false">Campaign_data!K585</f>
        <v>1.01048317175061</v>
      </c>
      <c r="D585" s="1" t="n">
        <f aca="false">B585</f>
        <v>126.87</v>
      </c>
      <c r="E585" s="1" t="n">
        <f aca="false">C585</f>
        <v>1.01048317175061</v>
      </c>
      <c r="F585" s="1" t="n">
        <f aca="false">IFERROR(D585*E585,"")</f>
        <v>128.2</v>
      </c>
      <c r="G585" s="1" t="n">
        <f aca="false">Campaign_data!F585</f>
        <v>128.2</v>
      </c>
    </row>
    <row r="586" customFormat="false" ht="12.8" hidden="false" customHeight="false" outlineLevel="0" collapsed="false">
      <c r="A586" s="1" t="n">
        <f aca="false">Campaign_data!A586</f>
        <v>585</v>
      </c>
      <c r="B586" s="1" t="n">
        <f aca="false">Campaign_data!D586</f>
        <v>66.59</v>
      </c>
      <c r="C586" s="1" t="n">
        <f aca="false">Campaign_data!K586</f>
        <v>0</v>
      </c>
      <c r="D586" s="1" t="n">
        <f aca="false">B586</f>
        <v>66.59</v>
      </c>
      <c r="E586" s="1" t="n">
        <f aca="false">C586</f>
        <v>0</v>
      </c>
      <c r="F586" s="1" t="n">
        <f aca="false">IFERROR(D586*E586,"")</f>
        <v>0</v>
      </c>
      <c r="G586" s="1" t="n">
        <f aca="false">Campaign_data!F586</f>
        <v>0</v>
      </c>
    </row>
    <row r="587" customFormat="false" ht="12.8" hidden="true" customHeight="false" outlineLevel="0" collapsed="false">
      <c r="A587" s="1" t="n">
        <f aca="false">Campaign_data!A587</f>
        <v>586</v>
      </c>
      <c r="B587" s="1" t="n">
        <f aca="false">Campaign_data!D587</f>
        <v>0</v>
      </c>
      <c r="C587" s="1" t="str">
        <f aca="false">Campaign_data!K587</f>
        <v/>
      </c>
      <c r="D587" s="1" t="n">
        <f aca="false">B587</f>
        <v>0</v>
      </c>
      <c r="E587" s="1" t="str">
        <f aca="false">C587</f>
        <v/>
      </c>
      <c r="F587" s="1" t="str">
        <f aca="false">IFERROR(D587*E587,"")</f>
        <v/>
      </c>
      <c r="G587" s="1" t="n">
        <f aca="false">Campaign_data!F587</f>
        <v>0</v>
      </c>
    </row>
    <row r="588" customFormat="false" ht="12.8" hidden="false" customHeight="false" outlineLevel="0" collapsed="false">
      <c r="A588" s="1" t="n">
        <f aca="false">Campaign_data!A588</f>
        <v>587</v>
      </c>
      <c r="B588" s="1" t="n">
        <f aca="false">Campaign_data!D588</f>
        <v>1191.97</v>
      </c>
      <c r="C588" s="1" t="n">
        <f aca="false">Campaign_data!K588</f>
        <v>0.405035361628229</v>
      </c>
      <c r="D588" s="1" t="n">
        <f aca="false">B588</f>
        <v>1191.97</v>
      </c>
      <c r="E588" s="1" t="n">
        <f aca="false">C588</f>
        <v>0.405035361628229</v>
      </c>
      <c r="F588" s="1" t="n">
        <f aca="false">IFERROR(D588*E588,"")</f>
        <v>482.79</v>
      </c>
      <c r="G588" s="1" t="n">
        <f aca="false">Campaign_data!F588</f>
        <v>482.79</v>
      </c>
    </row>
    <row r="589" customFormat="false" ht="12.8" hidden="false" customHeight="false" outlineLevel="0" collapsed="false">
      <c r="A589" s="1" t="n">
        <f aca="false">Campaign_data!A589</f>
        <v>588</v>
      </c>
      <c r="B589" s="1" t="n">
        <f aca="false">Campaign_data!D589</f>
        <v>1299.74</v>
      </c>
      <c r="C589" s="1" t="n">
        <f aca="false">Campaign_data!K589</f>
        <v>0.635334759259544</v>
      </c>
      <c r="D589" s="1" t="n">
        <f aca="false">B589</f>
        <v>1299.74</v>
      </c>
      <c r="E589" s="1" t="n">
        <f aca="false">C589</f>
        <v>0.635334759259544</v>
      </c>
      <c r="F589" s="1" t="n">
        <f aca="false">IFERROR(D589*E589,"")</f>
        <v>825.77</v>
      </c>
      <c r="G589" s="1" t="n">
        <f aca="false">Campaign_data!F589</f>
        <v>825.77</v>
      </c>
    </row>
    <row r="590" customFormat="false" ht="12.8" hidden="true" customHeight="false" outlineLevel="0" collapsed="false">
      <c r="A590" s="1" t="n">
        <f aca="false">Campaign_data!A590</f>
        <v>589</v>
      </c>
      <c r="B590" s="1" t="n">
        <f aca="false">Campaign_data!D590</f>
        <v>0</v>
      </c>
      <c r="C590" s="1" t="str">
        <f aca="false">Campaign_data!K590</f>
        <v/>
      </c>
      <c r="D590" s="1" t="n">
        <f aca="false">B590</f>
        <v>0</v>
      </c>
      <c r="E590" s="1" t="str">
        <f aca="false">C590</f>
        <v/>
      </c>
      <c r="F590" s="1" t="str">
        <f aca="false">IFERROR(D590*E590,"")</f>
        <v/>
      </c>
      <c r="G590" s="1" t="n">
        <f aca="false">Campaign_data!F590</f>
        <v>0</v>
      </c>
    </row>
    <row r="591" customFormat="false" ht="12.8" hidden="false" customHeight="false" outlineLevel="0" collapsed="false">
      <c r="A591" s="1" t="n">
        <f aca="false">Campaign_data!A591</f>
        <v>590</v>
      </c>
      <c r="B591" s="1" t="n">
        <f aca="false">Campaign_data!D591</f>
        <v>3553.82</v>
      </c>
      <c r="C591" s="1" t="n">
        <f aca="false">Campaign_data!K591</f>
        <v>0.745434490210534</v>
      </c>
      <c r="D591" s="1" t="n">
        <f aca="false">B591</f>
        <v>3553.82</v>
      </c>
      <c r="E591" s="1" t="n">
        <f aca="false">C591</f>
        <v>0.745434490210534</v>
      </c>
      <c r="F591" s="1" t="n">
        <f aca="false">IFERROR(D591*E591,"")</f>
        <v>2649.14</v>
      </c>
      <c r="G591" s="1" t="n">
        <f aca="false">Campaign_data!F591</f>
        <v>2649.14</v>
      </c>
    </row>
    <row r="592" customFormat="false" ht="12.8" hidden="true" customHeight="false" outlineLevel="0" collapsed="false">
      <c r="A592" s="1" t="n">
        <f aca="false">Campaign_data!A592</f>
        <v>591</v>
      </c>
      <c r="B592" s="1" t="n">
        <f aca="false">Campaign_data!D592</f>
        <v>0</v>
      </c>
      <c r="C592" s="1" t="str">
        <f aca="false">Campaign_data!K592</f>
        <v/>
      </c>
      <c r="D592" s="1" t="n">
        <f aca="false">B592</f>
        <v>0</v>
      </c>
      <c r="E592" s="1" t="str">
        <f aca="false">C592</f>
        <v/>
      </c>
      <c r="F592" s="1" t="str">
        <f aca="false">IFERROR(D592*E592,"")</f>
        <v/>
      </c>
      <c r="G592" s="1" t="n">
        <f aca="false">Campaign_data!F592</f>
        <v>509.53</v>
      </c>
    </row>
    <row r="593" customFormat="false" ht="12.8" hidden="false" customHeight="false" outlineLevel="0" collapsed="false">
      <c r="A593" s="1" t="n">
        <f aca="false">Campaign_data!A593</f>
        <v>592</v>
      </c>
      <c r="B593" s="1" t="n">
        <f aca="false">Campaign_data!D593</f>
        <v>23403.69</v>
      </c>
      <c r="C593" s="1" t="n">
        <f aca="false">Campaign_data!K593</f>
        <v>0.613599393941725</v>
      </c>
      <c r="D593" s="1" t="n">
        <f aca="false">B593</f>
        <v>23403.69</v>
      </c>
      <c r="E593" s="1" t="n">
        <f aca="false">C593</f>
        <v>0.613599393941725</v>
      </c>
      <c r="F593" s="1" t="n">
        <f aca="false">IFERROR(D593*E593,"")</f>
        <v>14360.49</v>
      </c>
      <c r="G593" s="1" t="n">
        <f aca="false">Campaign_data!F593</f>
        <v>14360.49</v>
      </c>
    </row>
    <row r="594" customFormat="false" ht="12.8" hidden="true" customHeight="false" outlineLevel="0" collapsed="false">
      <c r="A594" s="1" t="n">
        <f aca="false">Campaign_data!A594</f>
        <v>593</v>
      </c>
      <c r="B594" s="1" t="n">
        <f aca="false">Campaign_data!D594</f>
        <v>0</v>
      </c>
      <c r="C594" s="1" t="str">
        <f aca="false">Campaign_data!K594</f>
        <v/>
      </c>
      <c r="D594" s="1" t="n">
        <f aca="false">B594</f>
        <v>0</v>
      </c>
      <c r="E594" s="1" t="str">
        <f aca="false">C594</f>
        <v/>
      </c>
      <c r="F594" s="1" t="str">
        <f aca="false">IFERROR(D594*E594,"")</f>
        <v/>
      </c>
      <c r="G594" s="1" t="n">
        <f aca="false">Campaign_data!F594</f>
        <v>0</v>
      </c>
    </row>
    <row r="595" customFormat="false" ht="12.8" hidden="false" customHeight="false" outlineLevel="0" collapsed="false">
      <c r="A595" s="1" t="n">
        <f aca="false">Campaign_data!A595</f>
        <v>594</v>
      </c>
      <c r="B595" s="1" t="n">
        <f aca="false">Campaign_data!D595</f>
        <v>37.49</v>
      </c>
      <c r="C595" s="1" t="n">
        <f aca="false">Campaign_data!K595</f>
        <v>0</v>
      </c>
      <c r="D595" s="1" t="n">
        <f aca="false">B595</f>
        <v>37.49</v>
      </c>
      <c r="E595" s="1" t="n">
        <f aca="false">C595</f>
        <v>0</v>
      </c>
      <c r="F595" s="1" t="n">
        <f aca="false">IFERROR(D595*E595,"")</f>
        <v>0</v>
      </c>
      <c r="G595" s="1" t="n">
        <f aca="false">Campaign_data!F595</f>
        <v>0</v>
      </c>
    </row>
    <row r="596" customFormat="false" ht="12.8" hidden="false" customHeight="false" outlineLevel="0" collapsed="false">
      <c r="A596" s="1" t="n">
        <f aca="false">Campaign_data!A596</f>
        <v>595</v>
      </c>
      <c r="B596" s="1" t="n">
        <f aca="false">Campaign_data!D596</f>
        <v>1086.9</v>
      </c>
      <c r="C596" s="1" t="n">
        <f aca="false">Campaign_data!K596</f>
        <v>0.279335725457724</v>
      </c>
      <c r="D596" s="1" t="n">
        <f aca="false">B596</f>
        <v>1086.9</v>
      </c>
      <c r="E596" s="1" t="n">
        <f aca="false">C596</f>
        <v>0.279335725457724</v>
      </c>
      <c r="F596" s="1" t="n">
        <f aca="false">IFERROR(D596*E596,"")</f>
        <v>303.61</v>
      </c>
      <c r="G596" s="1" t="n">
        <f aca="false">Campaign_data!F596</f>
        <v>303.61</v>
      </c>
    </row>
    <row r="597" customFormat="false" ht="12.8" hidden="true" customHeight="false" outlineLevel="0" collapsed="false">
      <c r="A597" s="1" t="n">
        <f aca="false">Campaign_data!A597</f>
        <v>596</v>
      </c>
      <c r="B597" s="1" t="n">
        <f aca="false">Campaign_data!D597</f>
        <v>0</v>
      </c>
      <c r="C597" s="1" t="str">
        <f aca="false">Campaign_data!K597</f>
        <v/>
      </c>
      <c r="D597" s="1" t="n">
        <f aca="false">B597</f>
        <v>0</v>
      </c>
      <c r="E597" s="1" t="str">
        <f aca="false">C597</f>
        <v/>
      </c>
      <c r="F597" s="1" t="str">
        <f aca="false">IFERROR(D597*E597,"")</f>
        <v/>
      </c>
      <c r="G597" s="1" t="n">
        <f aca="false">Campaign_data!F597</f>
        <v>0</v>
      </c>
    </row>
    <row r="598" customFormat="false" ht="12.8" hidden="true" customHeight="false" outlineLevel="0" collapsed="false">
      <c r="A598" s="1" t="n">
        <f aca="false">Campaign_data!A598</f>
        <v>597</v>
      </c>
      <c r="B598" s="1" t="n">
        <f aca="false">Campaign_data!D598</f>
        <v>0</v>
      </c>
      <c r="C598" s="1" t="str">
        <f aca="false">Campaign_data!K598</f>
        <v/>
      </c>
      <c r="D598" s="1" t="n">
        <f aca="false">B598</f>
        <v>0</v>
      </c>
      <c r="E598" s="1" t="str">
        <f aca="false">C598</f>
        <v/>
      </c>
      <c r="F598" s="1" t="str">
        <f aca="false">IFERROR(D598*E598,"")</f>
        <v/>
      </c>
      <c r="G598" s="1" t="n">
        <f aca="false">Campaign_data!F598</f>
        <v>0</v>
      </c>
    </row>
    <row r="599" customFormat="false" ht="12.8" hidden="false" customHeight="false" outlineLevel="0" collapsed="false">
      <c r="A599" s="1" t="n">
        <f aca="false">Campaign_data!A599</f>
        <v>598</v>
      </c>
      <c r="B599" s="1" t="n">
        <f aca="false">Campaign_data!D599</f>
        <v>2714.25</v>
      </c>
      <c r="C599" s="1" t="n">
        <f aca="false">Campaign_data!K599</f>
        <v>0.958257345491388</v>
      </c>
      <c r="D599" s="1" t="n">
        <f aca="false">B599</f>
        <v>2714.25</v>
      </c>
      <c r="E599" s="1" t="n">
        <f aca="false">C599</f>
        <v>0.958257345491388</v>
      </c>
      <c r="F599" s="1" t="n">
        <f aca="false">IFERROR(D599*E599,"")</f>
        <v>2600.95</v>
      </c>
      <c r="G599" s="1" t="n">
        <f aca="false">Campaign_data!F599</f>
        <v>2600.95</v>
      </c>
    </row>
    <row r="600" customFormat="false" ht="12.8" hidden="false" customHeight="false" outlineLevel="0" collapsed="false">
      <c r="A600" s="1" t="n">
        <f aca="false">Campaign_data!A600</f>
        <v>599</v>
      </c>
      <c r="B600" s="1" t="n">
        <f aca="false">Campaign_data!D600</f>
        <v>3771.67</v>
      </c>
      <c r="C600" s="1" t="n">
        <f aca="false">Campaign_data!K600</f>
        <v>0.70890083172706</v>
      </c>
      <c r="D600" s="1" t="n">
        <f aca="false">B600</f>
        <v>3771.67</v>
      </c>
      <c r="E600" s="1" t="n">
        <f aca="false">C600</f>
        <v>0.70890083172706</v>
      </c>
      <c r="F600" s="1" t="n">
        <f aca="false">IFERROR(D600*E600,"")</f>
        <v>2673.74</v>
      </c>
      <c r="G600" s="1" t="n">
        <f aca="false">Campaign_data!F600</f>
        <v>2673.74</v>
      </c>
    </row>
    <row r="601" customFormat="false" ht="12.8" hidden="false" customHeight="false" outlineLevel="0" collapsed="false">
      <c r="A601" s="1" t="n">
        <f aca="false">Campaign_data!A601</f>
        <v>600</v>
      </c>
      <c r="B601" s="1" t="n">
        <f aca="false">Campaign_data!D601</f>
        <v>4841.73</v>
      </c>
      <c r="C601" s="1" t="n">
        <f aca="false">Campaign_data!K601</f>
        <v>0.646207037567151</v>
      </c>
      <c r="D601" s="1" t="n">
        <f aca="false">B601</f>
        <v>4841.73</v>
      </c>
      <c r="E601" s="1" t="n">
        <f aca="false">C601</f>
        <v>0.646207037567151</v>
      </c>
      <c r="F601" s="1" t="n">
        <f aca="false">IFERROR(D601*E601,"")</f>
        <v>3128.76</v>
      </c>
      <c r="G601" s="1" t="n">
        <f aca="false">Campaign_data!F601</f>
        <v>3128.76</v>
      </c>
    </row>
  </sheetData>
  <autoFilter ref="A1:G601">
    <filterColumn colId="1">
      <filters>
        <filter val="1005.35"/>
        <filter val="1009.34"/>
        <filter val="10111.91"/>
        <filter val="10150.59"/>
        <filter val="1017.78"/>
        <filter val="10240.7"/>
        <filter val="1030.34"/>
        <filter val="10353.45"/>
        <filter val="1039.68"/>
        <filter val="10391.42"/>
        <filter val="1048.79"/>
        <filter val="105.95"/>
        <filter val="1055.82"/>
        <filter val="1057.58"/>
        <filter val="1058.89"/>
        <filter val="10599.24"/>
        <filter val="10640.57"/>
        <filter val="1081.41"/>
        <filter val="1085.13"/>
        <filter val="1085.89"/>
        <filter val="1086.9"/>
        <filter val="11060.86"/>
        <filter val="1107.85"/>
        <filter val="1109.87"/>
        <filter val="11110.92"/>
        <filter val="1114.95"/>
        <filter val="1130.48"/>
        <filter val="1138.43"/>
        <filter val="11505.94"/>
        <filter val="11654.1"/>
        <filter val="1170.36"/>
        <filter val="1180.22"/>
        <filter val="1181.8"/>
        <filter val="1185.27"/>
        <filter val="1191.97"/>
        <filter val="12081.17"/>
        <filter val="123082.42"/>
        <filter val="12353.41"/>
        <filter val="126.87"/>
        <filter val="1293.85"/>
        <filter val="1299.74"/>
        <filter val="130.2"/>
        <filter val="1300.6"/>
        <filter val="13029.54"/>
        <filter val="1331.74"/>
        <filter val="13357.04"/>
        <filter val="1347.04"/>
        <filter val="1348.19"/>
        <filter val="135.35"/>
        <filter val="13520.01"/>
        <filter val="1354.15"/>
        <filter val="1371.92"/>
        <filter val="13736.77"/>
        <filter val="13869.25"/>
        <filter val="13926.8"/>
        <filter val="1398.9"/>
        <filter val="140153.6"/>
        <filter val="141.38"/>
        <filter val="1412.74"/>
        <filter val="1420.82"/>
        <filter val="1432.19"/>
        <filter val="14373.98"/>
        <filter val="143808.6"/>
        <filter val="14413.17"/>
        <filter val="148.49"/>
        <filter val="1494.92"/>
        <filter val="1497.11"/>
        <filter val="149718.02"/>
        <filter val="150.47"/>
        <filter val="151.94"/>
        <filter val="15225.5"/>
        <filter val="1528.48"/>
        <filter val="1540.06"/>
        <filter val="15451.23"/>
        <filter val="15480.76"/>
        <filter val="157.84"/>
        <filter val="1573.1"/>
        <filter val="15824.06"/>
        <filter val="1594.05"/>
        <filter val="16087.88"/>
        <filter val="1619.47"/>
        <filter val="170.39"/>
        <filter val="1723.48"/>
        <filter val="1737.47"/>
        <filter val="174.86"/>
        <filter val="1745.81"/>
        <filter val="176.98"/>
        <filter val="1763"/>
        <filter val="1775.95"/>
        <filter val="17788.47"/>
        <filter val="1792"/>
        <filter val="1792.86"/>
        <filter val="17920.15"/>
        <filter val="1823.21"/>
        <filter val="1823.62"/>
        <filter val="1871.54"/>
        <filter val="1871.97"/>
        <filter val="1886.19"/>
        <filter val="1896.85"/>
        <filter val="19060.92"/>
        <filter val="1952.79"/>
        <filter val="196.55"/>
        <filter val="19611.9"/>
        <filter val="1975.17"/>
        <filter val="19814.72"/>
        <filter val="200.38"/>
        <filter val="200.52"/>
        <filter val="2000.18"/>
        <filter val="2035.43"/>
        <filter val="2041.18"/>
        <filter val="20498.26"/>
        <filter val="205.17"/>
        <filter val="205.98"/>
        <filter val="207.11"/>
        <filter val="2097.45"/>
        <filter val="210.59"/>
        <filter val="2110.38"/>
        <filter val="2121.55"/>
        <filter val="216.96"/>
        <filter val="2165"/>
        <filter val="218.27"/>
        <filter val="21828.56"/>
        <filter val="2183.69"/>
        <filter val="219.32"/>
        <filter val="2190.24"/>
        <filter val="21986.48"/>
        <filter val="2218.82"/>
        <filter val="2223.02"/>
        <filter val="22442.93"/>
        <filter val="2246.19"/>
        <filter val="2281.28"/>
        <filter val="22882.86"/>
        <filter val="2306.94"/>
        <filter val="2322.61"/>
        <filter val="2328.6"/>
        <filter val="23403.69"/>
        <filter val="2344.24"/>
        <filter val="23570.9"/>
        <filter val="2373.07"/>
        <filter val="23758.53"/>
        <filter val="238.15"/>
        <filter val="2387.8"/>
        <filter val="243.79"/>
        <filter val="245.89"/>
        <filter val="2467.26"/>
        <filter val="2469.16"/>
        <filter val="24896.93"/>
        <filter val="25.58"/>
        <filter val="2515.09"/>
        <filter val="2515.64"/>
        <filter val="25421.79"/>
        <filter val="2556.27"/>
        <filter val="257.21"/>
        <filter val="2578.41"/>
        <filter val="2588.12"/>
        <filter val="2593.23"/>
        <filter val="2651.02"/>
        <filter val="27023.18"/>
        <filter val="27062.64"/>
        <filter val="2714.25"/>
        <filter val="273672.36"/>
        <filter val="27441.32"/>
        <filter val="2754.14"/>
        <filter val="2759.02"/>
        <filter val="2768.15"/>
        <filter val="2768.64"/>
        <filter val="2778.43"/>
        <filter val="2779.1"/>
        <filter val="2803.88"/>
        <filter val="28098.99"/>
        <filter val="2813.54"/>
        <filter val="2816.57"/>
        <filter val="2824.3"/>
        <filter val="284.63"/>
        <filter val="2876.98"/>
        <filter val="28818.33"/>
        <filter val="28820.82"/>
        <filter val="2891.01"/>
        <filter val="2921.45"/>
        <filter val="2950.5"/>
        <filter val="2966.87"/>
        <filter val="2977.71"/>
        <filter val="2992.8"/>
        <filter val="3017.38"/>
        <filter val="303.62"/>
        <filter val="3065.84"/>
        <filter val="3083.67"/>
        <filter val="3087.42"/>
        <filter val="3092.13"/>
        <filter val="3130.55"/>
        <filter val="315.9"/>
        <filter val="318.32"/>
        <filter val="319.94"/>
        <filter val="3192.98"/>
        <filter val="3202.09"/>
        <filter val="32056.78"/>
        <filter val="32319.08"/>
        <filter val="3235.54"/>
        <filter val="3300.75"/>
        <filter val="3321.95"/>
        <filter val="3329.7"/>
        <filter val="3333.5"/>
        <filter val="3334.48"/>
        <filter val="3368.95"/>
        <filter val="3370.64"/>
        <filter val="3391.85"/>
        <filter val="3398.86"/>
        <filter val="3402.48"/>
        <filter val="3456.27"/>
        <filter val="3496.2"/>
        <filter val="3516.56"/>
        <filter val="3553.82"/>
        <filter val="3568.62"/>
        <filter val="357489.87"/>
        <filter val="358.85"/>
        <filter val="3605.54"/>
        <filter val="3613.77"/>
        <filter val="3625.18"/>
        <filter val="37.49"/>
        <filter val="3744.95"/>
        <filter val="3771.67"/>
        <filter val="379.44"/>
        <filter val="3794.94"/>
        <filter val="3812.42"/>
        <filter val="38829.94"/>
        <filter val="3941.03"/>
        <filter val="403.69"/>
        <filter val="4084.05"/>
        <filter val="4127.61"/>
        <filter val="4162.8"/>
        <filter val="4182.27"/>
        <filter val="4233.8"/>
        <filter val="4240.43"/>
        <filter val="4267.95"/>
        <filter val="429.7"/>
        <filter val="4299.82"/>
        <filter val="433.23"/>
        <filter val="436.61"/>
        <filter val="4367.32"/>
        <filter val="437.32"/>
        <filter val="4380.31"/>
        <filter val="4473.52"/>
        <filter val="4523.54"/>
        <filter val="4536.97"/>
        <filter val="4539.81"/>
        <filter val="4549.01"/>
        <filter val="46.15"/>
        <filter val="46.92"/>
        <filter val="46502.59"/>
        <filter val="4678.8"/>
        <filter val="4711.85"/>
        <filter val="4722.75"/>
        <filter val="48.16"/>
        <filter val="481.16"/>
        <filter val="4841.73"/>
        <filter val="4865.47"/>
        <filter val="4872.66"/>
        <filter val="4952.04"/>
        <filter val="4978.68"/>
        <filter val="4999.59"/>
        <filter val="5099.34"/>
        <filter val="5105.29"/>
        <filter val="5134.23"/>
        <filter val="515.64"/>
        <filter val="5160.6"/>
        <filter val="519.78"/>
        <filter val="5230.07"/>
        <filter val="5233.46"/>
        <filter val="52878.13"/>
        <filter val="529.35"/>
        <filter val="5308.87"/>
        <filter val="536.2"/>
        <filter val="549.81"/>
        <filter val="55.19"/>
        <filter val="55.44"/>
        <filter val="5530.25"/>
        <filter val="5539.63"/>
        <filter val="5574.97"/>
        <filter val="56.52"/>
        <filter val="5645.38"/>
        <filter val="5685.91"/>
        <filter val="5720.88"/>
        <filter val="581.15"/>
        <filter val="5840.99"/>
        <filter val="5848.57"/>
        <filter val="5854.05"/>
        <filter val="5858.6"/>
        <filter val="5912.34"/>
        <filter val="615.15"/>
        <filter val="61832.66"/>
        <filter val="6317.97"/>
        <filter val="64.19"/>
        <filter val="646.41"/>
        <filter val="651.66"/>
        <filter val="6515.65"/>
        <filter val="657.16"/>
        <filter val="659.33"/>
        <filter val="66.59"/>
        <filter val="6605.55"/>
        <filter val="66750.49"/>
        <filter val="668.87"/>
        <filter val="675.86"/>
        <filter val="6754.99"/>
        <filter val="6761.28"/>
        <filter val="6824.14"/>
        <filter val="6921.27"/>
        <filter val="694.63"/>
        <filter val="6942.51"/>
        <filter val="7093.35"/>
        <filter val="7108.45"/>
        <filter val="716.68"/>
        <filter val="722.56"/>
        <filter val="725.7"/>
        <filter val="7256.18"/>
        <filter val="7291.51"/>
        <filter val="7351.19"/>
        <filter val="7430.85"/>
        <filter val="7842.7"/>
        <filter val="787.34"/>
        <filter val="7877.1"/>
        <filter val="788.74"/>
        <filter val="792.92"/>
        <filter val="794.18"/>
        <filter val="8004.37"/>
        <filter val="8038.44"/>
        <filter val="8127.04"/>
        <filter val="81483.1"/>
        <filter val="8239.2"/>
        <filter val="8284.78"/>
        <filter val="8318.74"/>
        <filter val="838.85"/>
        <filter val="8441.16"/>
        <filter val="8496.38"/>
        <filter val="8575.73"/>
        <filter val="8606.53"/>
        <filter val="862.21"/>
        <filter val="8631.18"/>
        <filter val="8635.42"/>
        <filter val="870.56"/>
        <filter val="8798.93"/>
        <filter val="880.85"/>
        <filter val="90.58"/>
        <filter val="902.25"/>
        <filter val="911.34"/>
        <filter val="912"/>
        <filter val="9159.03"/>
        <filter val="9251.84"/>
        <filter val="932.79"/>
        <filter val="9384.8"/>
        <filter val="948.64"/>
        <filter val="955.57"/>
        <filter val="9629.17"/>
        <filter val="964.81"/>
        <filter val="976.78"/>
        <filter val="9811.64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1.76"/>
    <col collapsed="false" customWidth="true" hidden="false" outlineLevel="0" max="2" min="2" style="1" width="18.41"/>
    <col collapsed="false" customWidth="true" hidden="false" outlineLevel="0" max="3" min="3" style="1" width="21.04"/>
    <col collapsed="false" customWidth="true" hidden="false" outlineLevel="0" max="4" min="4" style="1" width="17.71"/>
  </cols>
  <sheetData>
    <row r="1" customFormat="false" ht="15" hidden="false" customHeight="false" outlineLevel="0" collapsed="false">
      <c r="A1" s="2" t="s">
        <v>30</v>
      </c>
      <c r="B1" s="2" t="s">
        <v>31</v>
      </c>
      <c r="C1" s="2" t="s">
        <v>32</v>
      </c>
      <c r="D1" s="2" t="s">
        <v>33</v>
      </c>
    </row>
    <row r="2" customFormat="false" ht="12.8" hidden="false" customHeight="false" outlineLevel="0" collapsed="false">
      <c r="A2" s="1" t="s">
        <v>34</v>
      </c>
      <c r="B2" s="1" t="n">
        <f aca="false">SUM(Campaign_data!D2:D601)</f>
        <v>3240599.18</v>
      </c>
      <c r="C2" s="1" t="n">
        <f aca="false">Budget_Scenario!J3</f>
        <v>3240599.18</v>
      </c>
      <c r="D2" s="1" t="n">
        <f aca="false">ABS(C2-B2)</f>
        <v>0</v>
      </c>
    </row>
    <row r="3" customFormat="false" ht="12.8" hidden="false" customHeight="false" outlineLevel="0" collapsed="false">
      <c r="A3" s="1" t="s">
        <v>35</v>
      </c>
      <c r="B3" s="1" t="n">
        <f aca="false">SUM(Campaign_data!F2:F601)</f>
        <v>2524740.59</v>
      </c>
      <c r="C3" s="1" t="n">
        <f aca="false">Budget_Scenario!J7</f>
        <v>1751987.77039253</v>
      </c>
      <c r="D3" s="1" t="n">
        <f aca="false">ABS(C3-B3)</f>
        <v>772752.819607468</v>
      </c>
    </row>
    <row r="4" customFormat="false" ht="12.8" hidden="false" customHeight="false" outlineLevel="0" collapsed="false">
      <c r="A4" s="1" t="s">
        <v>36</v>
      </c>
      <c r="B4" s="1" t="n">
        <f aca="false">Budget_Scenario!J6</f>
        <v>0.779096842825221</v>
      </c>
      <c r="C4" s="1" t="n">
        <f aca="false">Budget_Scenario!J8</f>
        <v>0.540636985038221</v>
      </c>
      <c r="D4" s="1" t="n">
        <f aca="false">ABS(C4-B4)</f>
        <v>0.238459857787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2026-10-16T11:27:43Z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